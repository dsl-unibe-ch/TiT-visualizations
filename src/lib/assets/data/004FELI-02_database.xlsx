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Videos\TiT-visualizations\src\lib\assets\data\"/>
    </mc:Choice>
  </mc:AlternateContent>
  <xr:revisionPtr revIDLastSave="0" documentId="13_ncr:1_{17A59B11-778F-4E6F-8A6C-DA43CDB8092B}" xr6:coauthVersionLast="47" xr6:coauthVersionMax="47" xr10:uidLastSave="{00000000-0000-0000-0000-000000000000}"/>
  <bookViews>
    <workbookView xWindow="4680" yWindow="330" windowWidth="24195" windowHeight="20880" xr2:uid="{00000000-000D-0000-FFFF-FFFF00000000}"/>
  </bookViews>
  <sheets>
    <sheet name="Messages" sheetId="1" r:id="rId1"/>
    <sheet name="Ti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1" l="1"/>
  <c r="H46" i="1"/>
  <c r="H45" i="1"/>
  <c r="H44" i="1"/>
  <c r="H43" i="1"/>
  <c r="H42" i="1"/>
  <c r="H41" i="1"/>
  <c r="H40" i="1"/>
  <c r="H39" i="1"/>
  <c r="H38" i="1"/>
  <c r="H37" i="1"/>
  <c r="H36" i="1"/>
  <c r="H35" i="1"/>
  <c r="H34" i="1"/>
  <c r="H32" i="1"/>
  <c r="H30" i="1"/>
  <c r="H29" i="1"/>
  <c r="H28" i="1"/>
  <c r="H27" i="1"/>
  <c r="H26" i="1"/>
  <c r="H25" i="1"/>
  <c r="H24" i="1"/>
  <c r="H23" i="1"/>
  <c r="H22" i="1"/>
  <c r="H21" i="1"/>
  <c r="H20" i="1"/>
  <c r="H19" i="1"/>
  <c r="H18" i="1"/>
  <c r="H17" i="1"/>
  <c r="H16" i="1"/>
  <c r="H15" i="1"/>
  <c r="H14" i="1"/>
  <c r="H13" i="1"/>
  <c r="H12" i="1"/>
  <c r="H11" i="1"/>
  <c r="H10" i="1"/>
  <c r="H9" i="1"/>
  <c r="H8" i="1"/>
  <c r="H6" i="1"/>
  <c r="H5" i="1"/>
  <c r="H4" i="1"/>
  <c r="H3" i="1"/>
  <c r="H2" i="1"/>
</calcChain>
</file>

<file path=xl/sharedStrings.xml><?xml version="1.0" encoding="utf-8"?>
<sst xmlns="http://schemas.openxmlformats.org/spreadsheetml/2006/main" count="423" uniqueCount="120">
  <si>
    <t>recording_id</t>
  </si>
  <si>
    <t>platform</t>
  </si>
  <si>
    <t>message_id</t>
  </si>
  <si>
    <t>author</t>
  </si>
  <si>
    <t>recipient</t>
  </si>
  <si>
    <t>direction</t>
  </si>
  <si>
    <t>t_mmss</t>
  </si>
  <si>
    <t>t_sent</t>
  </si>
  <si>
    <t>t_received</t>
  </si>
  <si>
    <t>message_type</t>
  </si>
  <si>
    <t>language</t>
  </si>
  <si>
    <t>text</t>
  </si>
  <si>
    <t>004FELI-02-001</t>
  </si>
  <si>
    <t>Instagram</t>
  </si>
  <si>
    <t>Tina Albrecht</t>
  </si>
  <si>
    <t>Felicitas Albrecht</t>
  </si>
  <si>
    <t>incoming</t>
  </si>
  <si>
    <t>Video</t>
  </si>
  <si>
    <t>Multimodal</t>
  </si>
  <si>
    <t>outgoing</t>
  </si>
  <si>
    <t>00:00:39.291</t>
  </si>
  <si>
    <t>Text</t>
  </si>
  <si>
    <t>DE</t>
  </si>
  <si>
    <t>Schon gesenen, das war wirklich cool. Also das Reel, aber v.a. die Dirigentin</t>
  </si>
  <si>
    <t>004FELI-02-002</t>
  </si>
  <si>
    <t>WhatsApp</t>
  </si>
  <si>
    <t>Gruppe: Albrecht</t>
  </si>
  <si>
    <t>Emoji</t>
  </si>
  <si>
    <t>😍</t>
  </si>
  <si>
    <t>Bert Albrecht</t>
  </si>
  <si>
    <t>Bild; Text</t>
  </si>
  <si>
    <t>Noch süßer....</t>
  </si>
  <si>
    <t>So ein Fellknäuel!</t>
  </si>
  <si>
    <t>❤️❤️❤️</t>
  </si>
  <si>
    <t>00:00:09.303</t>
  </si>
  <si>
    <t xml:space="preserve">Freunde </t>
  </si>
  <si>
    <t>Moin</t>
  </si>
  <si>
    <t>00:00:40.908</t>
  </si>
  <si>
    <t>Ihr könnt morgen auf den Weihnachtsmarkt gehen, bei dem Wetter ist es auch nicht schlimm wenn ich ein paar Minuten eher und damit noch im hellen nach Hause fahre</t>
  </si>
  <si>
    <t>00:00:53.401</t>
  </si>
  <si>
    <t>Wichtig wäre nur dass HundX gegen 17.30, 18 wieder geholt wird</t>
  </si>
  <si>
    <t>00:01:02.147</t>
  </si>
  <si>
    <t xml:space="preserve">Ich könnte kurz nach 15 Uhr zu Hause sein </t>
  </si>
  <si>
    <t>00:01:17.635</t>
  </si>
  <si>
    <t>Text; Emoticon</t>
  </si>
  <si>
    <t>Und ihr müsstet im Gegenzug für mich zwei Pakete wegbringen :-)</t>
  </si>
  <si>
    <t>Danke schon mal für das Angebot, ich muss aber bis mindestens halb vier arbeiten</t>
  </si>
  <si>
    <t>00:01:42.515</t>
  </si>
  <si>
    <t>OK dann nicht :/</t>
  </si>
  <si>
    <t>Wir schauen auch auf das Wetter</t>
  </si>
  <si>
    <t>00:01:55.060</t>
  </si>
  <si>
    <t>Abends kann ich ihn nicht nehmen</t>
  </si>
  <si>
    <t>Wie, dann gar nicht?</t>
  </si>
  <si>
    <t>00:02:16.809</t>
  </si>
  <si>
    <t xml:space="preserve">Naja wie gesagt ich kann ihn nur bis 17:30, 18 nehmen </t>
  </si>
  <si>
    <t>00:02:27.319</t>
  </si>
  <si>
    <t>Dann macht es doch keinen Sinn oder?</t>
  </si>
  <si>
    <t>Wir gehen ja vielleicht nur auf die Hauptstraße, da reicht die Zeit</t>
  </si>
  <si>
    <t>00:02:48.344</t>
  </si>
  <si>
    <t>Ah ok</t>
  </si>
  <si>
    <t>004FELI-02-003</t>
  </si>
  <si>
    <t>00:00:41.371</t>
  </si>
  <si>
    <t>Oh je wie niedlich</t>
  </si>
  <si>
    <t>004FELI-02-004</t>
  </si>
  <si>
    <t>Jael Taber</t>
  </si>
  <si>
    <t>00:00:34.161</t>
  </si>
  <si>
    <t>Können wir 19.15 machen :)? Ich werde wetterbedingt einige Teilstrecken meines Heimwegs schieben müssen und brauche folglich ein paar Minuten länger :).</t>
  </si>
  <si>
    <t>004FELI-02-005</t>
  </si>
  <si>
    <t>ES</t>
  </si>
  <si>
    <t>Si :)</t>
  </si>
  <si>
    <t>André Taber</t>
  </si>
  <si>
    <t>Seid ihr noch unterwegs ?</t>
  </si>
  <si>
    <t>00:00:16.318</t>
  </si>
  <si>
    <t>Sind erst, Treff 19.15</t>
  </si>
  <si>
    <t>00:00:29.268</t>
  </si>
  <si>
    <t>Spontaner BoybandFans-Treff?</t>
  </si>
  <si>
    <t>004FELI-02-006</t>
  </si>
  <si>
    <t>Uh die Antwort muss ich mir merken</t>
  </si>
  <si>
    <t>004FELI-02-007</t>
  </si>
  <si>
    <t>Würde sonst auch 19 schaffen, aber .15 ist auch gut :)</t>
  </si>
  <si>
    <t>15 ist gut :)</t>
  </si>
  <si>
    <t>Reaktion</t>
  </si>
  <si>
    <t>🤝</t>
  </si>
  <si>
    <t>004FELI-02-008</t>
  </si>
  <si>
    <t>Sprachnachricht</t>
  </si>
  <si>
    <t>00:00:07.066</t>
  </si>
  <si>
    <t>Jo komme dir entgegen :)</t>
  </si>
  <si>
    <t>00:00:13.971</t>
  </si>
  <si>
    <t>Mach so in 5 min bei mir los</t>
  </si>
  <si>
    <t>004FELI-02-009</t>
  </si>
  <si>
    <t>Na dann
Viel Spaß noch!</t>
  </si>
  <si>
    <t>Ne. Wollte nur über den Gossip lästern :D</t>
  </si>
  <si>
    <t>00:00:33.715</t>
  </si>
  <si>
    <t>Können wir jetzt machen #XXXXXXXXXXXXXXX</t>
  </si>
  <si>
    <t>Nun muss nur noch das Wetter mitspielen</t>
  </si>
  <si>
    <t>004FELI-02-010</t>
  </si>
  <si>
    <t>00:00:11.475</t>
  </si>
  <si>
    <t xml:space="preserve">Okay ich richte es mir ein! </t>
  </si>
  <si>
    <t>004FELI-02-011</t>
  </si>
  <si>
    <t>Wie es dir passt</t>
  </si>
  <si>
    <t>00:00:08.804</t>
  </si>
  <si>
    <t xml:space="preserve">Wie gesagt es passt mir :) </t>
  </si>
  <si>
    <t>00:00:18.989</t>
  </si>
  <si>
    <t xml:space="preserve">Aber wäre supi wenn wir das mit den Paketen hinkriegen </t>
  </si>
  <si>
    <t>00:00:38.013</t>
  </si>
  <si>
    <t xml:space="preserve">Es sind zwei Gegenstände die verschickt werden müssen, ein paar Schuhe und eine Stirnlampe </t>
  </si>
  <si>
    <t>00:01:34.407</t>
  </si>
  <si>
    <t>Ich zahle alles, aber wenn ich den Hund morgen habe schaffe ich es nicht zur Post. Und ich habe den beiden Käufern versprochen, dass ich es morgen wegbringe, die haben beide schon das Geld überwiesen. Und wie gesagt HundX müsste auch gegen 17.30 wieder gehen</t>
  </si>
  <si>
    <t>00:01:48.253</t>
  </si>
  <si>
    <t>Aber innerhalb dieser Grenzen können wir es sehr gern realisieren :-)</t>
  </si>
  <si>
    <t>anchor_video_time</t>
  </si>
  <si>
    <t>anchor_clock_time</t>
  </si>
  <si>
    <t>recording_date</t>
  </si>
  <si>
    <t>00:00:31.504</t>
  </si>
  <si>
    <t>00:00:28.439</t>
  </si>
  <si>
    <t>00:00:28.316</t>
  </si>
  <si>
    <t>00:00:00.000</t>
  </si>
  <si>
    <t>00:00:11.818</t>
  </si>
  <si>
    <t>00:00:11.499</t>
  </si>
  <si>
    <t>00:00:37.712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</si>
</sst>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1" fontId="0" fillId="0" borderId="0" xfId="0" applyNumberFormat="1"/>
    <xf numFmtId="0" fontId="1" fillId="0" borderId="0" xfId="0" applyFont="1"/>
    <xf numFmtId="1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
  <sheetViews>
    <sheetView tabSelected="1" topLeftCell="B1" workbookViewId="0">
      <pane ySplit="1" topLeftCell="A2" activePane="bottomLeft" state="frozen"/>
      <selection pane="bottomLeft" activeCell="D30" sqref="D30"/>
    </sheetView>
  </sheetViews>
  <sheetFormatPr baseColWidth="10" defaultColWidth="8.85546875" defaultRowHeight="15" x14ac:dyDescent="0.25"/>
  <cols>
    <col min="1" max="1" width="22" customWidth="1"/>
    <col min="2" max="2" width="12" customWidth="1"/>
    <col min="3" max="3" width="13" customWidth="1"/>
    <col min="4" max="5" width="24" customWidth="1"/>
    <col min="6" max="8" width="12" customWidth="1"/>
    <col min="9" max="9" width="13" customWidth="1"/>
    <col min="10" max="10" width="15" customWidth="1"/>
    <col min="11" max="11" width="12" customWidth="1"/>
    <col min="12" max="12" width="60"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t="s">
        <v>12</v>
      </c>
      <c r="B2" t="s">
        <v>13</v>
      </c>
      <c r="C2">
        <v>1</v>
      </c>
      <c r="D2" t="s">
        <v>14</v>
      </c>
      <c r="E2" t="s">
        <v>15</v>
      </c>
      <c r="F2" t="s">
        <v>16</v>
      </c>
      <c r="H2" t="str">
        <f>IF(
F2&lt;&gt;"outgoing",
"",
TEXT(
_xlfn.XLOOKUP(A2,Time!A:A,Time!C:C)+
(
TIMEVALUE(LEFT(G2,8))+(MID(G2,10,3)/86400000)
-
(
TIMEVALUE(LEFT(_xlfn.XLOOKUP(A2,Time!A:A,Time!B:B),8))+
(MID(_xlfn.XLOOKUP(A2,Time!A:A,Time!B:B),10,3)/86400000)
)
),
"hh:mm:ss"
)
)</f>
        <v/>
      </c>
      <c r="I2" s="1">
        <v>9.0277777777777769E-3</v>
      </c>
      <c r="J2" t="s">
        <v>17</v>
      </c>
      <c r="K2" t="s">
        <v>18</v>
      </c>
    </row>
    <row r="3" spans="1:12" x14ac:dyDescent="0.25">
      <c r="A3" t="s">
        <v>12</v>
      </c>
      <c r="B3" t="s">
        <v>13</v>
      </c>
      <c r="C3">
        <v>2</v>
      </c>
      <c r="D3" t="s">
        <v>15</v>
      </c>
      <c r="E3" t="s">
        <v>14</v>
      </c>
      <c r="F3" t="s">
        <v>19</v>
      </c>
      <c r="G3" t="s">
        <v>20</v>
      </c>
      <c r="H3" t="str">
        <f>IF(
F3&lt;&gt;"outgoing",
"",
TEXT(
_xlfn.XLOOKUP(A3,Time!A:A,Time!C:C)+
(
TIMEVALUE(LEFT(G3,8))+(MID(G3,10,3)/86400000)
-
(
TIMEVALUE(LEFT(_xlfn.XLOOKUP(A3,Time!A:A,Time!B:B),8))+
(MID(_xlfn.XLOOKUP(A3,Time!A:A,Time!B:B),10,3)/86400000)
)
),
"hh:mm:ss"
)
)</f>
        <v>07:14:08</v>
      </c>
      <c r="J3" t="s">
        <v>21</v>
      </c>
      <c r="K3" t="s">
        <v>22</v>
      </c>
      <c r="L3" t="s">
        <v>23</v>
      </c>
    </row>
    <row r="4" spans="1:12" x14ac:dyDescent="0.25">
      <c r="A4" t="s">
        <v>24</v>
      </c>
      <c r="B4" t="s">
        <v>25</v>
      </c>
      <c r="C4">
        <v>3</v>
      </c>
      <c r="D4" t="s">
        <v>14</v>
      </c>
      <c r="E4" t="s">
        <v>26</v>
      </c>
      <c r="F4" t="s">
        <v>16</v>
      </c>
      <c r="H4" t="str">
        <f>IF(
F4&lt;&gt;"outgoing",
"",
TEXT(
_xlfn.XLOOKUP(A4,Time!A:A,Time!C:C)+
(
TIMEVALUE(LEFT(G4,8))+(MID(G4,10,3)/86400000)
-
(
TIMEVALUE(LEFT(_xlfn.XLOOKUP(A4,Time!A:A,Time!B:B),8))+
(MID(_xlfn.XLOOKUP(A4,Time!A:A,Time!B:B),10,3)/86400000)
)
),
"hh:mm:ss"
)
)</f>
        <v/>
      </c>
      <c r="I4" s="1">
        <v>0.91874999999999996</v>
      </c>
      <c r="J4" t="s">
        <v>27</v>
      </c>
      <c r="K4" t="s">
        <v>18</v>
      </c>
      <c r="L4" t="s">
        <v>28</v>
      </c>
    </row>
    <row r="5" spans="1:12" x14ac:dyDescent="0.25">
      <c r="A5" t="s">
        <v>24</v>
      </c>
      <c r="B5" t="s">
        <v>25</v>
      </c>
      <c r="C5">
        <v>4</v>
      </c>
      <c r="D5" t="s">
        <v>29</v>
      </c>
      <c r="E5" t="s">
        <v>26</v>
      </c>
      <c r="F5" t="s">
        <v>16</v>
      </c>
      <c r="H5" t="str">
        <f>IF(
F5&lt;&gt;"outgoing",
"",
TEXT(
_xlfn.XLOOKUP(A5,Time!A:A,Time!C:C)+
(
TIMEVALUE(LEFT(G5,8))+(MID(G5,10,3)/86400000)
-
(
TIMEVALUE(LEFT(_xlfn.XLOOKUP(A5,Time!A:A,Time!B:B),8))+
(MID(_xlfn.XLOOKUP(A5,Time!A:A,Time!B:B),10,3)/86400000)
)
),
"hh:mm:ss"
)
)</f>
        <v/>
      </c>
      <c r="I5" s="1">
        <v>0.92500000000000004</v>
      </c>
      <c r="J5" t="s">
        <v>30</v>
      </c>
      <c r="K5" t="s">
        <v>22</v>
      </c>
      <c r="L5" t="s">
        <v>31</v>
      </c>
    </row>
    <row r="6" spans="1:12" x14ac:dyDescent="0.25">
      <c r="A6" t="s">
        <v>24</v>
      </c>
      <c r="B6" t="s">
        <v>25</v>
      </c>
      <c r="C6">
        <v>5</v>
      </c>
      <c r="D6" t="s">
        <v>14</v>
      </c>
      <c r="E6" t="s">
        <v>26</v>
      </c>
      <c r="F6" t="s">
        <v>16</v>
      </c>
      <c r="H6" t="str">
        <f>IF(
F6&lt;&gt;"outgoing",
"",
TEXT(
_xlfn.XLOOKUP(A6,Time!A:A,Time!C:C)+
(
TIMEVALUE(LEFT(G6,8))+(MID(G6,10,3)/86400000)
-
(
TIMEVALUE(LEFT(_xlfn.XLOOKUP(A6,Time!A:A,Time!B:B),8))+
(MID(_xlfn.XLOOKUP(A6,Time!A:A,Time!B:B),10,3)/86400000)
)
),
"hh:mm:ss"
)
)</f>
        <v/>
      </c>
      <c r="I6" s="1">
        <v>0.92569444444444449</v>
      </c>
      <c r="J6" t="s">
        <v>21</v>
      </c>
      <c r="K6" t="s">
        <v>22</v>
      </c>
      <c r="L6" t="s">
        <v>32</v>
      </c>
    </row>
    <row r="7" spans="1:12" x14ac:dyDescent="0.25">
      <c r="A7" t="s">
        <v>24</v>
      </c>
      <c r="B7" t="s">
        <v>25</v>
      </c>
      <c r="C7">
        <v>6</v>
      </c>
      <c r="D7" t="s">
        <v>15</v>
      </c>
      <c r="E7" t="s">
        <v>26</v>
      </c>
      <c r="F7" t="s">
        <v>19</v>
      </c>
      <c r="H7" s="1">
        <v>0.9291666666666667</v>
      </c>
      <c r="J7" t="s">
        <v>27</v>
      </c>
      <c r="K7" t="s">
        <v>18</v>
      </c>
      <c r="L7" t="s">
        <v>33</v>
      </c>
    </row>
    <row r="8" spans="1:12" x14ac:dyDescent="0.25">
      <c r="A8" t="s">
        <v>24</v>
      </c>
      <c r="B8" t="s">
        <v>25</v>
      </c>
      <c r="C8">
        <v>7</v>
      </c>
      <c r="D8" t="s">
        <v>15</v>
      </c>
      <c r="E8" t="s">
        <v>26</v>
      </c>
      <c r="F8" t="s">
        <v>19</v>
      </c>
      <c r="G8" t="s">
        <v>34</v>
      </c>
      <c r="H8" t="str">
        <f>IF(
F8&lt;&gt;"outgoing",
"",
TEXT(
_xlfn.XLOOKUP(A8,Time!A:A,Time!C:C)+
(
TIMEVALUE(LEFT(G8,8))+(MID(G8,10,3)/86400000)
-
(
TIMEVALUE(LEFT(_xlfn.XLOOKUP(A8,Time!A:A,Time!B:B),8))+
(MID(_xlfn.XLOOKUP(A8,Time!A:A,Time!B:B),10,3)/86400000)
)
),
"hh:mm:ss"
)
)</f>
        <v>08:26:41</v>
      </c>
      <c r="J8" t="s">
        <v>21</v>
      </c>
      <c r="K8" t="s">
        <v>22</v>
      </c>
      <c r="L8" t="s">
        <v>35</v>
      </c>
    </row>
    <row r="9" spans="1:12" x14ac:dyDescent="0.25">
      <c r="A9" t="s">
        <v>24</v>
      </c>
      <c r="B9" t="s">
        <v>25</v>
      </c>
      <c r="C9">
        <v>8</v>
      </c>
      <c r="D9" t="s">
        <v>14</v>
      </c>
      <c r="E9" t="s">
        <v>26</v>
      </c>
      <c r="F9" t="s">
        <v>16</v>
      </c>
      <c r="H9" t="str">
        <f>IF(
F9&lt;&gt;"outgoing",
"",
TEXT(
_xlfn.XLOOKUP(A9,Time!A:A,Time!C:C)+
(
TIMEVALUE(LEFT(G9,8))+(MID(G9,10,3)/86400000)
-
(
TIMEVALUE(LEFT(_xlfn.XLOOKUP(A9,Time!A:A,Time!B:B),8))+
(MID(_xlfn.XLOOKUP(A9,Time!A:A,Time!B:B),10,3)/86400000)
)
),
"hh:mm:ss"
)
)</f>
        <v/>
      </c>
      <c r="I9" s="1">
        <v>0.35208333333333341</v>
      </c>
      <c r="J9" t="s">
        <v>21</v>
      </c>
      <c r="K9" t="s">
        <v>22</v>
      </c>
      <c r="L9" t="s">
        <v>36</v>
      </c>
    </row>
    <row r="10" spans="1:12" x14ac:dyDescent="0.25">
      <c r="A10" t="s">
        <v>24</v>
      </c>
      <c r="B10" t="s">
        <v>25</v>
      </c>
      <c r="C10">
        <v>9</v>
      </c>
      <c r="D10" t="s">
        <v>15</v>
      </c>
      <c r="E10" t="s">
        <v>26</v>
      </c>
      <c r="F10" t="s">
        <v>19</v>
      </c>
      <c r="G10" t="s">
        <v>37</v>
      </c>
      <c r="H10" t="str">
        <f>IF(
F10&lt;&gt;"outgoing",
"",
TEXT(
_xlfn.XLOOKUP(A10,Time!A:A,Time!C:C)+
(
TIMEVALUE(LEFT(G10,8))+(MID(G10,10,3)/86400000)
-
(
TIMEVALUE(LEFT(_xlfn.XLOOKUP(A10,Time!A:A,Time!B:B),8))+
(MID(_xlfn.XLOOKUP(A10,Time!A:A,Time!B:B),10,3)/86400000)
)
),
"hh:mm:ss"
)
)</f>
        <v>08:27:12</v>
      </c>
      <c r="J10" t="s">
        <v>21</v>
      </c>
      <c r="K10" t="s">
        <v>22</v>
      </c>
      <c r="L10" t="s">
        <v>38</v>
      </c>
    </row>
    <row r="11" spans="1:12" x14ac:dyDescent="0.25">
      <c r="A11" t="s">
        <v>24</v>
      </c>
      <c r="B11" t="s">
        <v>25</v>
      </c>
      <c r="C11">
        <v>10</v>
      </c>
      <c r="D11" t="s">
        <v>15</v>
      </c>
      <c r="E11" t="s">
        <v>26</v>
      </c>
      <c r="F11" t="s">
        <v>19</v>
      </c>
      <c r="G11" t="s">
        <v>39</v>
      </c>
      <c r="H11" t="str">
        <f>IF(
F11&lt;&gt;"outgoing",
"",
TEXT(
_xlfn.XLOOKUP(A11,Time!A:A,Time!C:C)+
(
TIMEVALUE(LEFT(G11,8))+(MID(G11,10,3)/86400000)
-
(
TIMEVALUE(LEFT(_xlfn.XLOOKUP(A11,Time!A:A,Time!B:B),8))+
(MID(_xlfn.XLOOKUP(A11,Time!A:A,Time!B:B),10,3)/86400000)
)
),
"hh:mm:ss"
)
)</f>
        <v>08:27:25</v>
      </c>
      <c r="J11" t="s">
        <v>21</v>
      </c>
      <c r="K11" t="s">
        <v>22</v>
      </c>
      <c r="L11" t="s">
        <v>40</v>
      </c>
    </row>
    <row r="12" spans="1:12" x14ac:dyDescent="0.25">
      <c r="A12" t="s">
        <v>24</v>
      </c>
      <c r="B12" t="s">
        <v>25</v>
      </c>
      <c r="C12">
        <v>11</v>
      </c>
      <c r="D12" t="s">
        <v>15</v>
      </c>
      <c r="E12" t="s">
        <v>26</v>
      </c>
      <c r="F12" t="s">
        <v>19</v>
      </c>
      <c r="G12" t="s">
        <v>41</v>
      </c>
      <c r="H12" t="str">
        <f>IF(
F12&lt;&gt;"outgoing",
"",
TEXT(
_xlfn.XLOOKUP(A12,Time!A:A,Time!C:C)+
(
TIMEVALUE(LEFT(G12,8))+(MID(G12,10,3)/86400000)
-
(
TIMEVALUE(LEFT(_xlfn.XLOOKUP(A12,Time!A:A,Time!B:B),8))+
(MID(_xlfn.XLOOKUP(A12,Time!A:A,Time!B:B),10,3)/86400000)
)
),
"hh:mm:ss"
)
)</f>
        <v>08:27:34</v>
      </c>
      <c r="J12" t="s">
        <v>21</v>
      </c>
      <c r="K12" t="s">
        <v>22</v>
      </c>
      <c r="L12" t="s">
        <v>42</v>
      </c>
    </row>
    <row r="13" spans="1:12" x14ac:dyDescent="0.25">
      <c r="A13" t="s">
        <v>24</v>
      </c>
      <c r="B13" t="s">
        <v>25</v>
      </c>
      <c r="C13">
        <v>12</v>
      </c>
      <c r="D13" t="s">
        <v>15</v>
      </c>
      <c r="E13" t="s">
        <v>26</v>
      </c>
      <c r="F13" t="s">
        <v>19</v>
      </c>
      <c r="G13" t="s">
        <v>43</v>
      </c>
      <c r="H13" t="str">
        <f>IF(
F13&lt;&gt;"outgoing",
"",
TEXT(
_xlfn.XLOOKUP(A13,Time!A:A,Time!C:C)+
(
TIMEVALUE(LEFT(G13,8))+(MID(G13,10,3)/86400000)
-
(
TIMEVALUE(LEFT(_xlfn.XLOOKUP(A13,Time!A:A,Time!B:B),8))+
(MID(_xlfn.XLOOKUP(A13,Time!A:A,Time!B:B),10,3)/86400000)
)
),
"hh:mm:ss"
)
)</f>
        <v>08:27:49</v>
      </c>
      <c r="J13" t="s">
        <v>44</v>
      </c>
      <c r="K13" t="s">
        <v>22</v>
      </c>
      <c r="L13" t="s">
        <v>45</v>
      </c>
    </row>
    <row r="14" spans="1:12" x14ac:dyDescent="0.25">
      <c r="A14" t="s">
        <v>24</v>
      </c>
      <c r="B14" t="s">
        <v>25</v>
      </c>
      <c r="C14">
        <v>13</v>
      </c>
      <c r="D14" t="s">
        <v>14</v>
      </c>
      <c r="E14" t="s">
        <v>26</v>
      </c>
      <c r="F14" t="s">
        <v>16</v>
      </c>
      <c r="H14" t="str">
        <f>IF(
F14&lt;&gt;"outgoing",
"",
TEXT(
_xlfn.XLOOKUP(A14,Time!A:A,Time!C:C)+
(
TIMEVALUE(LEFT(G14,8))+(MID(G14,10,3)/86400000)
-
(
TIMEVALUE(LEFT(_xlfn.XLOOKUP(A14,Time!A:A,Time!B:B),8))+
(MID(_xlfn.XLOOKUP(A14,Time!A:A,Time!B:B),10,3)/86400000)
)
),
"hh:mm:ss"
)
)</f>
        <v/>
      </c>
      <c r="I14" s="1">
        <v>0.3527777777777778</v>
      </c>
      <c r="J14" t="s">
        <v>21</v>
      </c>
      <c r="K14" t="s">
        <v>22</v>
      </c>
      <c r="L14" t="s">
        <v>46</v>
      </c>
    </row>
    <row r="15" spans="1:12" x14ac:dyDescent="0.25">
      <c r="A15" t="s">
        <v>24</v>
      </c>
      <c r="B15" t="s">
        <v>25</v>
      </c>
      <c r="C15">
        <v>14</v>
      </c>
      <c r="D15" t="s">
        <v>14</v>
      </c>
      <c r="E15" t="s">
        <v>26</v>
      </c>
      <c r="F15" t="s">
        <v>19</v>
      </c>
      <c r="G15" t="s">
        <v>47</v>
      </c>
      <c r="H15" t="str">
        <f>IF(
F15&lt;&gt;"outgoing",
"",
TEXT(
_xlfn.XLOOKUP(A15,Time!A:A,Time!C:C)+
(
TIMEVALUE(LEFT(G15,8))+(MID(G15,10,3)/86400000)
-
(
TIMEVALUE(LEFT(_xlfn.XLOOKUP(A15,Time!A:A,Time!B:B),8))+
(MID(_xlfn.XLOOKUP(A15,Time!A:A,Time!B:B),10,3)/86400000)
)
),
"hh:mm:ss"
)
)</f>
        <v>08:28:14</v>
      </c>
      <c r="J15" t="s">
        <v>44</v>
      </c>
      <c r="K15" t="s">
        <v>22</v>
      </c>
      <c r="L15" t="s">
        <v>48</v>
      </c>
    </row>
    <row r="16" spans="1:12" x14ac:dyDescent="0.25">
      <c r="A16" t="s">
        <v>24</v>
      </c>
      <c r="B16" t="s">
        <v>25</v>
      </c>
      <c r="C16">
        <v>15</v>
      </c>
      <c r="D16" t="s">
        <v>14</v>
      </c>
      <c r="E16" t="s">
        <v>26</v>
      </c>
      <c r="F16" t="s">
        <v>16</v>
      </c>
      <c r="H16" t="str">
        <f>IF(
F16&lt;&gt;"outgoing",
"",
TEXT(
_xlfn.XLOOKUP(A16,Time!A:A,Time!C:C)+
(
TIMEVALUE(LEFT(G16,8))+(MID(G16,10,3)/86400000)
-
(
TIMEVALUE(LEFT(_xlfn.XLOOKUP(A16,Time!A:A,Time!B:B),8))+
(MID(_xlfn.XLOOKUP(A16,Time!A:A,Time!B:B),10,3)/86400000)
)
),
"hh:mm:ss"
)
)</f>
        <v/>
      </c>
      <c r="I16" s="1">
        <v>0.3527777777777778</v>
      </c>
      <c r="J16" t="s">
        <v>21</v>
      </c>
      <c r="K16" t="s">
        <v>22</v>
      </c>
      <c r="L16" t="s">
        <v>49</v>
      </c>
    </row>
    <row r="17" spans="1:12" x14ac:dyDescent="0.25">
      <c r="A17" t="s">
        <v>24</v>
      </c>
      <c r="B17" t="s">
        <v>25</v>
      </c>
      <c r="C17">
        <v>16</v>
      </c>
      <c r="D17" t="s">
        <v>15</v>
      </c>
      <c r="E17" t="s">
        <v>26</v>
      </c>
      <c r="F17" t="s">
        <v>19</v>
      </c>
      <c r="G17" t="s">
        <v>50</v>
      </c>
      <c r="H17" t="str">
        <f>IF(
F17&lt;&gt;"outgoing",
"",
TEXT(
_xlfn.XLOOKUP(A17,Time!A:A,Time!C:C)+
(
TIMEVALUE(LEFT(G17,8))+(MID(G17,10,3)/86400000)
-
(
TIMEVALUE(LEFT(_xlfn.XLOOKUP(A17,Time!A:A,Time!B:B),8))+
(MID(_xlfn.XLOOKUP(A17,Time!A:A,Time!B:B),10,3)/86400000)
)
),
"hh:mm:ss"
)
)</f>
        <v>08:28:27</v>
      </c>
      <c r="J17" t="s">
        <v>21</v>
      </c>
      <c r="K17" t="s">
        <v>22</v>
      </c>
      <c r="L17" t="s">
        <v>51</v>
      </c>
    </row>
    <row r="18" spans="1:12" x14ac:dyDescent="0.25">
      <c r="A18" t="s">
        <v>24</v>
      </c>
      <c r="B18" t="s">
        <v>25</v>
      </c>
      <c r="C18">
        <v>17</v>
      </c>
      <c r="D18" t="s">
        <v>14</v>
      </c>
      <c r="E18" t="s">
        <v>26</v>
      </c>
      <c r="F18" t="s">
        <v>16</v>
      </c>
      <c r="H18" t="str">
        <f>IF(
F18&lt;&gt;"outgoing",
"",
TEXT(
_xlfn.XLOOKUP(A18,Time!A:A,Time!C:C)+
(
TIMEVALUE(LEFT(G18,8))+(MID(G18,10,3)/86400000)
-
(
TIMEVALUE(LEFT(_xlfn.XLOOKUP(A18,Time!A:A,Time!B:B),8))+
(MID(_xlfn.XLOOKUP(A18,Time!A:A,Time!B:B),10,3)/86400000)
)
),
"hh:mm:ss"
)
)</f>
        <v/>
      </c>
      <c r="I18" s="1">
        <v>0.3527777777777778</v>
      </c>
      <c r="J18" t="s">
        <v>21</v>
      </c>
      <c r="K18" t="s">
        <v>22</v>
      </c>
      <c r="L18" t="s">
        <v>52</v>
      </c>
    </row>
    <row r="19" spans="1:12" x14ac:dyDescent="0.25">
      <c r="A19" t="s">
        <v>24</v>
      </c>
      <c r="B19" t="s">
        <v>25</v>
      </c>
      <c r="C19">
        <v>18</v>
      </c>
      <c r="D19" t="s">
        <v>15</v>
      </c>
      <c r="E19" t="s">
        <v>26</v>
      </c>
      <c r="F19" t="s">
        <v>19</v>
      </c>
      <c r="G19" t="s">
        <v>53</v>
      </c>
      <c r="H19" t="str">
        <f>IF(
F19&lt;&gt;"outgoing",
"",
TEXT(
_xlfn.XLOOKUP(A19,Time!A:A,Time!C:C)+
(
TIMEVALUE(LEFT(G19,8))+(MID(G19,10,3)/86400000)
-
(
TIMEVALUE(LEFT(_xlfn.XLOOKUP(A19,Time!A:A,Time!B:B),8))+
(MID(_xlfn.XLOOKUP(A19,Time!A:A,Time!B:B),10,3)/86400000)
)
),
"hh:mm:ss"
)
)</f>
        <v>08:28:48</v>
      </c>
      <c r="J19" t="s">
        <v>21</v>
      </c>
      <c r="K19" t="s">
        <v>22</v>
      </c>
      <c r="L19" t="s">
        <v>54</v>
      </c>
    </row>
    <row r="20" spans="1:12" x14ac:dyDescent="0.25">
      <c r="A20" t="s">
        <v>24</v>
      </c>
      <c r="B20" t="s">
        <v>25</v>
      </c>
      <c r="C20">
        <v>19</v>
      </c>
      <c r="D20" t="s">
        <v>15</v>
      </c>
      <c r="E20" t="s">
        <v>26</v>
      </c>
      <c r="F20" t="s">
        <v>19</v>
      </c>
      <c r="G20" t="s">
        <v>55</v>
      </c>
      <c r="H20" t="str">
        <f>IF(
F20&lt;&gt;"outgoing",
"",
TEXT(
_xlfn.XLOOKUP(A20,Time!A:A,Time!C:C)+
(
TIMEVALUE(LEFT(G20,8))+(MID(G20,10,3)/86400000)
-
(
TIMEVALUE(LEFT(_xlfn.XLOOKUP(A20,Time!A:A,Time!B:B),8))+
(MID(_xlfn.XLOOKUP(A20,Time!A:A,Time!B:B),10,3)/86400000)
)
),
"hh:mm:ss"
)
)</f>
        <v>08:28:59</v>
      </c>
      <c r="J20" t="s">
        <v>21</v>
      </c>
      <c r="K20" t="s">
        <v>22</v>
      </c>
      <c r="L20" t="s">
        <v>56</v>
      </c>
    </row>
    <row r="21" spans="1:12" x14ac:dyDescent="0.25">
      <c r="A21" t="s">
        <v>24</v>
      </c>
      <c r="B21" t="s">
        <v>25</v>
      </c>
      <c r="C21">
        <v>20</v>
      </c>
      <c r="D21" t="s">
        <v>14</v>
      </c>
      <c r="E21" t="s">
        <v>26</v>
      </c>
      <c r="F21" t="s">
        <v>16</v>
      </c>
      <c r="H21" t="str">
        <f>IF(
F21&lt;&gt;"outgoing",
"",
TEXT(
_xlfn.XLOOKUP(A21,Time!A:A,Time!C:C)+
(
TIMEVALUE(LEFT(G21,8))+(MID(G21,10,3)/86400000)
-
(
TIMEVALUE(LEFT(_xlfn.XLOOKUP(A21,Time!A:A,Time!B:B),8))+
(MID(_xlfn.XLOOKUP(A21,Time!A:A,Time!B:B),10,3)/86400000)
)
),
"hh:mm:ss"
)
)</f>
        <v/>
      </c>
      <c r="I21" s="1">
        <v>0.35347222222222219</v>
      </c>
      <c r="J21" t="s">
        <v>21</v>
      </c>
      <c r="K21" t="s">
        <v>22</v>
      </c>
      <c r="L21" t="s">
        <v>57</v>
      </c>
    </row>
    <row r="22" spans="1:12" x14ac:dyDescent="0.25">
      <c r="A22" t="s">
        <v>24</v>
      </c>
      <c r="B22" t="s">
        <v>25</v>
      </c>
      <c r="C22">
        <v>21</v>
      </c>
      <c r="D22" t="s">
        <v>15</v>
      </c>
      <c r="E22" t="s">
        <v>26</v>
      </c>
      <c r="F22" t="s">
        <v>19</v>
      </c>
      <c r="G22" t="s">
        <v>58</v>
      </c>
      <c r="H22" t="str">
        <f>IF(
F22&lt;&gt;"outgoing",
"",
TEXT(
_xlfn.XLOOKUP(A22,Time!A:A,Time!C:C)+
(
TIMEVALUE(LEFT(G22,8))+(MID(G22,10,3)/86400000)
-
(
TIMEVALUE(LEFT(_xlfn.XLOOKUP(A22,Time!A:A,Time!B:B),8))+
(MID(_xlfn.XLOOKUP(A22,Time!A:A,Time!B:B),10,3)/86400000)
)
),
"hh:mm:ss"
)
)</f>
        <v>08:29:20</v>
      </c>
      <c r="J22" t="s">
        <v>21</v>
      </c>
      <c r="K22" t="s">
        <v>22</v>
      </c>
      <c r="L22" t="s">
        <v>59</v>
      </c>
    </row>
    <row r="23" spans="1:12" x14ac:dyDescent="0.25">
      <c r="A23" t="s">
        <v>60</v>
      </c>
      <c r="B23" t="s">
        <v>13</v>
      </c>
      <c r="C23">
        <v>22</v>
      </c>
      <c r="D23" t="s">
        <v>14</v>
      </c>
      <c r="E23" t="s">
        <v>15</v>
      </c>
      <c r="F23" t="s">
        <v>16</v>
      </c>
      <c r="H23" t="str">
        <f>IF(
F23&lt;&gt;"outgoing",
"",
TEXT(
_xlfn.XLOOKUP(A23,Time!A:A,Time!C:C)+
(
TIMEVALUE(LEFT(G23,8))+(MID(G23,10,3)/86400000)
-
(
TIMEVALUE(LEFT(_xlfn.XLOOKUP(A23,Time!A:A,Time!B:B),8))+
(MID(_xlfn.XLOOKUP(A23,Time!A:A,Time!B:B),10,3)/86400000)
)
),
"hh:mm:ss"
)
)</f>
        <v/>
      </c>
      <c r="I23" s="1">
        <v>0.55347222222222225</v>
      </c>
      <c r="J23" t="s">
        <v>17</v>
      </c>
      <c r="K23" t="s">
        <v>18</v>
      </c>
    </row>
    <row r="24" spans="1:12" x14ac:dyDescent="0.25">
      <c r="A24" t="s">
        <v>60</v>
      </c>
      <c r="B24" t="s">
        <v>13</v>
      </c>
      <c r="C24">
        <v>23</v>
      </c>
      <c r="D24" t="s">
        <v>15</v>
      </c>
      <c r="E24" t="s">
        <v>14</v>
      </c>
      <c r="F24" t="s">
        <v>19</v>
      </c>
      <c r="G24" t="s">
        <v>61</v>
      </c>
      <c r="H24" t="str">
        <f>IF(
F24&lt;&gt;"outgoing",
"",
TEXT(
_xlfn.XLOOKUP(A24,Time!A:A,Time!C:C)+
(
TIMEVALUE(LEFT(G24,8))+(MID(G24,10,3)/86400000)
-
(
TIMEVALUE(LEFT(_xlfn.XLOOKUP(A24,Time!A:A,Time!B:B),8))+
(MID(_xlfn.XLOOKUP(A24,Time!A:A,Time!B:B),10,3)/86400000)
)
),
"hh:mm:ss"
)
)</f>
        <v>15:19:13</v>
      </c>
      <c r="J24" t="s">
        <v>21</v>
      </c>
      <c r="K24" t="s">
        <v>22</v>
      </c>
      <c r="L24" t="s">
        <v>62</v>
      </c>
    </row>
    <row r="25" spans="1:12" x14ac:dyDescent="0.25">
      <c r="A25" t="s">
        <v>63</v>
      </c>
      <c r="B25" t="s">
        <v>25</v>
      </c>
      <c r="C25">
        <v>24</v>
      </c>
      <c r="D25" t="s">
        <v>15</v>
      </c>
      <c r="E25" t="s">
        <v>64</v>
      </c>
      <c r="F25" t="s">
        <v>19</v>
      </c>
      <c r="G25" t="s">
        <v>65</v>
      </c>
      <c r="H25" t="str">
        <f>IF(
F25&lt;&gt;"outgoing",
"",
TEXT(
_xlfn.XLOOKUP(A25,Time!A:A,Time!C:C)+
(
TIMEVALUE(LEFT(G25,8))+(MID(G25,10,3)/86400000)
-
(
TIMEVALUE(LEFT(_xlfn.XLOOKUP(A25,Time!A:A,Time!B:B),8))+
(MID(_xlfn.XLOOKUP(A25,Time!A:A,Time!B:B),10,3)/86400000)
)
),
"hh:mm:ss"
)
)</f>
        <v>16:27:34</v>
      </c>
      <c r="J25" t="s">
        <v>44</v>
      </c>
      <c r="K25" t="s">
        <v>22</v>
      </c>
      <c r="L25" t="s">
        <v>66</v>
      </c>
    </row>
    <row r="26" spans="1:12" x14ac:dyDescent="0.25">
      <c r="A26" t="s">
        <v>67</v>
      </c>
      <c r="B26" t="s">
        <v>25</v>
      </c>
      <c r="C26">
        <v>25</v>
      </c>
      <c r="D26" t="s">
        <v>64</v>
      </c>
      <c r="E26" t="s">
        <v>15</v>
      </c>
      <c r="F26" t="s">
        <v>16</v>
      </c>
      <c r="H26" t="str">
        <f>IF(
F26&lt;&gt;"outgoing",
"",
TEXT(
_xlfn.XLOOKUP(A26,Time!A:A,Time!C:C)+
(
TIMEVALUE(LEFT(G26,8))+(MID(G26,10,3)/86400000)
-
(
TIMEVALUE(LEFT(_xlfn.XLOOKUP(A26,Time!A:A,Time!B:B),8))+
(MID(_xlfn.XLOOKUP(A26,Time!A:A,Time!B:B),10,3)/86400000)
)
),
"hh:mm:ss"
)
)</f>
        <v/>
      </c>
      <c r="I26" s="1">
        <v>0.68888888888888888</v>
      </c>
      <c r="J26" t="s">
        <v>44</v>
      </c>
      <c r="K26" t="s">
        <v>68</v>
      </c>
      <c r="L26" t="s">
        <v>69</v>
      </c>
    </row>
    <row r="27" spans="1:12" x14ac:dyDescent="0.25">
      <c r="A27" t="s">
        <v>67</v>
      </c>
      <c r="B27" t="s">
        <v>25</v>
      </c>
      <c r="C27">
        <v>26</v>
      </c>
      <c r="D27" t="s">
        <v>70</v>
      </c>
      <c r="E27" t="s">
        <v>15</v>
      </c>
      <c r="F27" t="s">
        <v>16</v>
      </c>
      <c r="H27" t="str">
        <f>IF(
F27&lt;&gt;"outgoing",
"",
TEXT(
_xlfn.XLOOKUP(A27,Time!A:A,Time!C:C)+
(
TIMEVALUE(LEFT(G27,8))+(MID(G27,10,3)/86400000)
-
(
TIMEVALUE(LEFT(_xlfn.XLOOKUP(A27,Time!A:A,Time!B:B),8))+
(MID(_xlfn.XLOOKUP(A27,Time!A:A,Time!B:B),10,3)/86400000)
)
),
"hh:mm:ss"
)
)</f>
        <v/>
      </c>
      <c r="I27" s="1">
        <v>0.75763888888888886</v>
      </c>
      <c r="J27" t="s">
        <v>21</v>
      </c>
      <c r="K27" t="s">
        <v>22</v>
      </c>
      <c r="L27" t="s">
        <v>71</v>
      </c>
    </row>
    <row r="28" spans="1:12" x14ac:dyDescent="0.25">
      <c r="A28" t="s">
        <v>67</v>
      </c>
      <c r="B28" t="s">
        <v>25</v>
      </c>
      <c r="C28">
        <v>27</v>
      </c>
      <c r="D28" t="s">
        <v>15</v>
      </c>
      <c r="E28" t="s">
        <v>70</v>
      </c>
      <c r="F28" t="s">
        <v>19</v>
      </c>
      <c r="G28" t="s">
        <v>72</v>
      </c>
      <c r="H28" t="str">
        <f>IF(
F28&lt;&gt;"outgoing",
"",
TEXT(
_xlfn.XLOOKUP(A28,Time!A:A,Time!C:C)+
(
TIMEVALUE(LEFT(G28,8))+(MID(G28,10,3)/86400000)
-
(
TIMEVALUE(LEFT(_xlfn.XLOOKUP(A28,Time!A:A,Time!B:B),8))+
(MID(_xlfn.XLOOKUP(A28,Time!A:A,Time!B:B),10,3)/86400000)
)
),
"hh:mm:ss"
)
)</f>
        <v>18:22:04</v>
      </c>
      <c r="J28" t="s">
        <v>21</v>
      </c>
      <c r="K28" t="s">
        <v>22</v>
      </c>
      <c r="L28" t="s">
        <v>73</v>
      </c>
    </row>
    <row r="29" spans="1:12" x14ac:dyDescent="0.25">
      <c r="A29" t="s">
        <v>67</v>
      </c>
      <c r="B29" t="s">
        <v>25</v>
      </c>
      <c r="C29">
        <v>28</v>
      </c>
      <c r="D29" t="s">
        <v>15</v>
      </c>
      <c r="E29" t="s">
        <v>70</v>
      </c>
      <c r="F29" t="s">
        <v>19</v>
      </c>
      <c r="G29" t="s">
        <v>74</v>
      </c>
      <c r="H29" t="str">
        <f>IF(
F29&lt;&gt;"outgoing",
"",
TEXT(
_xlfn.XLOOKUP(A29,Time!A:A,Time!C:C)+
(
TIMEVALUE(LEFT(G29,8))+(MID(G29,10,3)/86400000)
-
(
TIMEVALUE(LEFT(_xlfn.XLOOKUP(A29,Time!A:A,Time!B:B),8))+
(MID(_xlfn.XLOOKUP(A29,Time!A:A,Time!B:B),10,3)/86400000)
)
),
"hh:mm:ss"
)
)</f>
        <v>18:22:17</v>
      </c>
      <c r="J29" t="s">
        <v>21</v>
      </c>
      <c r="K29" t="s">
        <v>22</v>
      </c>
      <c r="L29" t="s">
        <v>75</v>
      </c>
    </row>
    <row r="30" spans="1:12" x14ac:dyDescent="0.25">
      <c r="A30" t="s">
        <v>76</v>
      </c>
      <c r="B30" t="s">
        <v>13</v>
      </c>
      <c r="C30">
        <v>29</v>
      </c>
      <c r="D30" t="s">
        <v>64</v>
      </c>
      <c r="E30" t="s">
        <v>15</v>
      </c>
      <c r="F30" t="s">
        <v>16</v>
      </c>
      <c r="H30" t="str">
        <f>IF(
F30&lt;&gt;"outgoing",
"",
TEXT(
_xlfn.XLOOKUP(A30,Time!A:A,Time!C:C)+
(
TIMEVALUE(LEFT(G30,8))+(MID(G30,10,3)/86400000)
-
(
TIMEVALUE(LEFT(_xlfn.XLOOKUP(A30,Time!A:A,Time!B:B),8))+
(MID(_xlfn.XLOOKUP(A30,Time!A:A,Time!B:B),10,3)/86400000)
)
),
"hh:mm:ss"
)
)</f>
        <v/>
      </c>
      <c r="I30" s="1">
        <v>0.75624999999999998</v>
      </c>
      <c r="J30" t="s">
        <v>21</v>
      </c>
      <c r="K30" t="s">
        <v>22</v>
      </c>
      <c r="L30" t="s">
        <v>77</v>
      </c>
    </row>
    <row r="31" spans="1:12" x14ac:dyDescent="0.25">
      <c r="A31" t="s">
        <v>78</v>
      </c>
      <c r="B31" t="s">
        <v>25</v>
      </c>
      <c r="C31">
        <v>30</v>
      </c>
      <c r="D31" t="s">
        <v>15</v>
      </c>
      <c r="E31" t="s">
        <v>64</v>
      </c>
      <c r="F31" t="s">
        <v>19</v>
      </c>
      <c r="H31" s="1">
        <v>0.76736111111111116</v>
      </c>
      <c r="J31" t="s">
        <v>44</v>
      </c>
      <c r="K31" t="s">
        <v>22</v>
      </c>
      <c r="L31" t="s">
        <v>79</v>
      </c>
    </row>
    <row r="32" spans="1:12" x14ac:dyDescent="0.25">
      <c r="A32" t="s">
        <v>78</v>
      </c>
      <c r="B32" t="s">
        <v>25</v>
      </c>
      <c r="C32">
        <v>31</v>
      </c>
      <c r="D32" t="s">
        <v>64</v>
      </c>
      <c r="E32" t="s">
        <v>15</v>
      </c>
      <c r="F32" t="s">
        <v>16</v>
      </c>
      <c r="H32" t="str">
        <f>IF(
F32&lt;&gt;"outgoing",
"",
TEXT(
_xlfn.XLOOKUP(A32,Time!A:A,Time!C:C)+
(
TIMEVALUE(LEFT(G32,8))+(MID(G32,10,3)/86400000)
-
(
TIMEVALUE(LEFT(_xlfn.XLOOKUP(A32,Time!A:A,Time!B:B),8))+
(MID(_xlfn.XLOOKUP(A32,Time!A:A,Time!B:B),10,3)/86400000)
)
),
"hh:mm:ss"
)
)</f>
        <v/>
      </c>
      <c r="I32" s="1">
        <v>0.77083333333333337</v>
      </c>
      <c r="J32" t="s">
        <v>44</v>
      </c>
      <c r="K32" t="s">
        <v>22</v>
      </c>
      <c r="L32" t="s">
        <v>80</v>
      </c>
    </row>
    <row r="33" spans="1:12" x14ac:dyDescent="0.25">
      <c r="A33" t="s">
        <v>78</v>
      </c>
      <c r="B33" t="s">
        <v>25</v>
      </c>
      <c r="C33">
        <v>32</v>
      </c>
      <c r="D33" t="s">
        <v>15</v>
      </c>
      <c r="E33" t="s">
        <v>64</v>
      </c>
      <c r="F33" t="s">
        <v>19</v>
      </c>
      <c r="H33" s="1">
        <v>0.77152777777777781</v>
      </c>
      <c r="J33" t="s">
        <v>81</v>
      </c>
      <c r="K33" t="s">
        <v>18</v>
      </c>
      <c r="L33" t="s">
        <v>82</v>
      </c>
    </row>
    <row r="34" spans="1:12" x14ac:dyDescent="0.25">
      <c r="A34" t="s">
        <v>83</v>
      </c>
      <c r="B34" t="s">
        <v>25</v>
      </c>
      <c r="C34">
        <v>33</v>
      </c>
      <c r="D34" t="s">
        <v>64</v>
      </c>
      <c r="E34" t="s">
        <v>15</v>
      </c>
      <c r="F34" t="s">
        <v>16</v>
      </c>
      <c r="H34" t="str">
        <f>IF(
F34&lt;&gt;"outgoing",
"",
TEXT(
_xlfn.XLOOKUP(A34,Time!A:A,Time!C:C)+
(
TIMEVALUE(LEFT(G34,8))+(MID(G34,10,3)/86400000)
-
(
TIMEVALUE(LEFT(_xlfn.XLOOKUP(A34,Time!A:A,Time!B:B),8))+
(MID(_xlfn.XLOOKUP(A34,Time!A:A,Time!B:B),10,3)/86400000)
)
),
"hh:mm:ss"
)
)</f>
        <v/>
      </c>
      <c r="I34" s="1">
        <v>0.79305555555555551</v>
      </c>
      <c r="J34" t="s">
        <v>84</v>
      </c>
      <c r="K34" t="s">
        <v>18</v>
      </c>
    </row>
    <row r="35" spans="1:12" x14ac:dyDescent="0.25">
      <c r="A35" t="s">
        <v>83</v>
      </c>
      <c r="B35" t="s">
        <v>25</v>
      </c>
      <c r="C35">
        <v>34</v>
      </c>
      <c r="D35" t="s">
        <v>15</v>
      </c>
      <c r="E35" t="s">
        <v>64</v>
      </c>
      <c r="F35" t="s">
        <v>19</v>
      </c>
      <c r="G35" t="s">
        <v>85</v>
      </c>
      <c r="H35" t="str">
        <f>IF(
F35&lt;&gt;"outgoing",
"",
TEXT(
_xlfn.XLOOKUP(A35,Time!A:A,Time!C:C)+
(
TIMEVALUE(LEFT(G35,8))+(MID(G35,10,3)/86400000)
-
(
TIMEVALUE(LEFT(_xlfn.XLOOKUP(A35,Time!A:A,Time!B:B),8))+
(MID(_xlfn.XLOOKUP(A35,Time!A:A,Time!B:B),10,3)/86400000)
)
),
"hh:mm:ss"
)
)</f>
        <v>19:03:07</v>
      </c>
      <c r="J35" t="s">
        <v>21</v>
      </c>
      <c r="K35" t="s">
        <v>22</v>
      </c>
      <c r="L35" t="s">
        <v>86</v>
      </c>
    </row>
    <row r="36" spans="1:12" x14ac:dyDescent="0.25">
      <c r="A36" t="s">
        <v>83</v>
      </c>
      <c r="B36" t="s">
        <v>25</v>
      </c>
      <c r="C36">
        <v>35</v>
      </c>
      <c r="D36" t="s">
        <v>15</v>
      </c>
      <c r="E36" t="s">
        <v>64</v>
      </c>
      <c r="F36" t="s">
        <v>19</v>
      </c>
      <c r="G36" t="s">
        <v>87</v>
      </c>
      <c r="H36" t="str">
        <f>IF(
F36&lt;&gt;"outgoing",
"",
TEXT(
_xlfn.XLOOKUP(A36,Time!A:A,Time!C:C)+
(
TIMEVALUE(LEFT(G36,8))+(MID(G36,10,3)/86400000)
-
(
TIMEVALUE(LEFT(_xlfn.XLOOKUP(A36,Time!A:A,Time!B:B),8))+
(MID(_xlfn.XLOOKUP(A36,Time!A:A,Time!B:B),10,3)/86400000)
)
),
"hh:mm:ss"
)
)</f>
        <v>19:03:14</v>
      </c>
      <c r="J36" t="s">
        <v>21</v>
      </c>
      <c r="K36" t="s">
        <v>22</v>
      </c>
      <c r="L36" t="s">
        <v>88</v>
      </c>
    </row>
    <row r="37" spans="1:12" x14ac:dyDescent="0.25">
      <c r="A37" t="s">
        <v>89</v>
      </c>
      <c r="B37" t="s">
        <v>25</v>
      </c>
      <c r="C37">
        <v>36</v>
      </c>
      <c r="D37" t="s">
        <v>29</v>
      </c>
      <c r="E37" t="s">
        <v>15</v>
      </c>
      <c r="F37" t="s">
        <v>16</v>
      </c>
      <c r="H37" t="str">
        <f>IF(
F37&lt;&gt;"outgoing",
"",
TEXT(
_xlfn.XLOOKUP(A37,Time!A:A,Time!C:C)+
(
TIMEVALUE(LEFT(G37,8))+(MID(G37,10,3)/86400000)
-
(
TIMEVALUE(LEFT(_xlfn.XLOOKUP(A37,Time!A:A,Time!B:B),8))+
(MID(_xlfn.XLOOKUP(A37,Time!A:A,Time!B:B),10,3)/86400000)
)
),
"hh:mm:ss"
)
)</f>
        <v/>
      </c>
      <c r="I37" s="1">
        <v>0.86736111111111114</v>
      </c>
      <c r="J37" t="s">
        <v>21</v>
      </c>
      <c r="K37" t="s">
        <v>22</v>
      </c>
      <c r="L37" t="s">
        <v>90</v>
      </c>
    </row>
    <row r="38" spans="1:12" x14ac:dyDescent="0.25">
      <c r="A38" t="s">
        <v>89</v>
      </c>
      <c r="B38" t="s">
        <v>25</v>
      </c>
      <c r="C38">
        <v>37</v>
      </c>
      <c r="D38" t="s">
        <v>70</v>
      </c>
      <c r="E38" t="s">
        <v>15</v>
      </c>
      <c r="F38" t="s">
        <v>16</v>
      </c>
      <c r="H38" t="str">
        <f>IF(
F38&lt;&gt;"outgoing",
"",
TEXT(
_xlfn.XLOOKUP(A38,Time!A:A,Time!C:C)+
(
TIMEVALUE(LEFT(G38,8))+(MID(G38,10,3)/86400000)
-
(
TIMEVALUE(LEFT(_xlfn.XLOOKUP(A38,Time!A:A,Time!B:B),8))+
(MID(_xlfn.XLOOKUP(A38,Time!A:A,Time!B:B),10,3)/86400000)
)
),
"hh:mm:ss"
)
)</f>
        <v/>
      </c>
      <c r="I38" s="1">
        <v>0.81527777777777777</v>
      </c>
      <c r="J38" t="s">
        <v>44</v>
      </c>
      <c r="K38" t="s">
        <v>22</v>
      </c>
      <c r="L38" t="s">
        <v>91</v>
      </c>
    </row>
    <row r="39" spans="1:12" x14ac:dyDescent="0.25">
      <c r="A39" t="s">
        <v>89</v>
      </c>
      <c r="B39" t="s">
        <v>25</v>
      </c>
      <c r="C39">
        <v>38</v>
      </c>
      <c r="D39" t="s">
        <v>15</v>
      </c>
      <c r="E39" t="s">
        <v>70</v>
      </c>
      <c r="F39" t="s">
        <v>19</v>
      </c>
      <c r="G39" t="s">
        <v>92</v>
      </c>
      <c r="H39" t="str">
        <f>IF(
F39&lt;&gt;"outgoing",
"",
TEXT(
_xlfn.XLOOKUP(A39,Time!A:A,Time!C:C)+
(
TIMEVALUE(LEFT(G39,8))+(MID(G39,10,3)/86400000)
-
(
TIMEVALUE(LEFT(_xlfn.XLOOKUP(A39,Time!A:A,Time!B:B),8))+
(MID(_xlfn.XLOOKUP(A39,Time!A:A,Time!B:B),10,3)/86400000)
)
),
"hh:mm:ss"
)
)</f>
        <v>21:23:34</v>
      </c>
      <c r="J39" t="s">
        <v>21</v>
      </c>
      <c r="K39" t="s">
        <v>22</v>
      </c>
      <c r="L39" t="s">
        <v>93</v>
      </c>
    </row>
    <row r="40" spans="1:12" x14ac:dyDescent="0.25">
      <c r="A40" t="s">
        <v>89</v>
      </c>
      <c r="B40" t="s">
        <v>25</v>
      </c>
      <c r="C40">
        <v>39</v>
      </c>
      <c r="D40" t="s">
        <v>14</v>
      </c>
      <c r="E40" t="s">
        <v>15</v>
      </c>
      <c r="F40" t="s">
        <v>16</v>
      </c>
      <c r="H40" t="str">
        <f>IF(
F40&lt;&gt;"outgoing",
"",
TEXT(
_xlfn.XLOOKUP(A40,Time!A:A,Time!C:C)+
(
TIMEVALUE(LEFT(G40,8))+(MID(G40,10,3)/86400000)
-
(
TIMEVALUE(LEFT(_xlfn.XLOOKUP(A40,Time!A:A,Time!B:B),8))+
(MID(_xlfn.XLOOKUP(A40,Time!A:A,Time!B:B),10,3)/86400000)
)
),
"hh:mm:ss"
)
)</f>
        <v/>
      </c>
      <c r="I40" s="1">
        <v>0.89861111111111114</v>
      </c>
      <c r="J40" t="s">
        <v>21</v>
      </c>
      <c r="K40" t="s">
        <v>22</v>
      </c>
      <c r="L40" t="s">
        <v>94</v>
      </c>
    </row>
    <row r="41" spans="1:12" x14ac:dyDescent="0.25">
      <c r="A41" t="s">
        <v>95</v>
      </c>
      <c r="B41" t="s">
        <v>25</v>
      </c>
      <c r="C41">
        <v>40</v>
      </c>
      <c r="D41" t="s">
        <v>15</v>
      </c>
      <c r="E41" t="s">
        <v>14</v>
      </c>
      <c r="F41" t="s">
        <v>19</v>
      </c>
      <c r="G41" t="s">
        <v>96</v>
      </c>
      <c r="H41" t="str">
        <f>IF(
F41&lt;&gt;"outgoing",
"",
TEXT(
_xlfn.XLOOKUP(A41,Time!A:A,Time!C:C)+
(
TIMEVALUE(LEFT(G41,8))+(MID(G41,10,3)/86400000)
-
(
TIMEVALUE(LEFT(_xlfn.XLOOKUP(A41,Time!A:A,Time!B:B),8))+
(MID(_xlfn.XLOOKUP(A41,Time!A:A,Time!B:B),10,3)/86400000)
)
),
"hh:mm:ss"
)
)</f>
        <v>21:25:00</v>
      </c>
      <c r="J41" t="s">
        <v>21</v>
      </c>
      <c r="K41" t="s">
        <v>22</v>
      </c>
      <c r="L41" t="s">
        <v>97</v>
      </c>
    </row>
    <row r="42" spans="1:12" x14ac:dyDescent="0.25">
      <c r="A42" t="s">
        <v>98</v>
      </c>
      <c r="B42" t="s">
        <v>25</v>
      </c>
      <c r="C42">
        <v>41</v>
      </c>
      <c r="D42" t="s">
        <v>14</v>
      </c>
      <c r="E42" t="s">
        <v>15</v>
      </c>
      <c r="F42" t="s">
        <v>16</v>
      </c>
      <c r="H42" t="str">
        <f>IF(
F42&lt;&gt;"outgoing",
"",
TEXT(
_xlfn.XLOOKUP(A42,Time!A:A,Time!C:C)+
(
TIMEVALUE(LEFT(G42,8))+(MID(G42,10,3)/86400000)
-
(
TIMEVALUE(LEFT(_xlfn.XLOOKUP(A42,Time!A:A,Time!B:B),8))+
(MID(_xlfn.XLOOKUP(A42,Time!A:A,Time!B:B),10,3)/86400000)
)
),
"hh:mm:ss"
)
)</f>
        <v/>
      </c>
      <c r="I42" s="1">
        <v>0.89236111111111116</v>
      </c>
      <c r="J42" t="s">
        <v>21</v>
      </c>
      <c r="K42" t="s">
        <v>22</v>
      </c>
      <c r="L42" t="s">
        <v>99</v>
      </c>
    </row>
    <row r="43" spans="1:12" x14ac:dyDescent="0.25">
      <c r="A43" t="s">
        <v>98</v>
      </c>
      <c r="B43" t="s">
        <v>25</v>
      </c>
      <c r="C43">
        <v>42</v>
      </c>
      <c r="D43" t="s">
        <v>15</v>
      </c>
      <c r="E43" t="s">
        <v>14</v>
      </c>
      <c r="F43" t="s">
        <v>19</v>
      </c>
      <c r="G43" t="s">
        <v>100</v>
      </c>
      <c r="H43" t="str">
        <f>IF(
F43&lt;&gt;"outgoing",
"",
TEXT(
_xlfn.XLOOKUP(A43,Time!A:A,Time!C:C)+
(
TIMEVALUE(LEFT(G43,8))+(MID(G43,10,3)/86400000)
-
(
TIMEVALUE(LEFT(_xlfn.XLOOKUP(A43,Time!A:A,Time!B:B),8))+
(MID(_xlfn.XLOOKUP(A43,Time!A:A,Time!B:B),10,3)/86400000)
)
),
"hh:mm:ss"
)
)</f>
        <v>22:43:31</v>
      </c>
      <c r="J43" t="s">
        <v>44</v>
      </c>
      <c r="K43" t="s">
        <v>22</v>
      </c>
      <c r="L43" t="s">
        <v>101</v>
      </c>
    </row>
    <row r="44" spans="1:12" x14ac:dyDescent="0.25">
      <c r="A44" t="s">
        <v>98</v>
      </c>
      <c r="B44" t="s">
        <v>25</v>
      </c>
      <c r="C44">
        <v>43</v>
      </c>
      <c r="D44" t="s">
        <v>15</v>
      </c>
      <c r="E44" t="s">
        <v>14</v>
      </c>
      <c r="F44" t="s">
        <v>19</v>
      </c>
      <c r="G44" t="s">
        <v>102</v>
      </c>
      <c r="H44" t="str">
        <f>IF(
F44&lt;&gt;"outgoing",
"",
TEXT(
_xlfn.XLOOKUP(A44,Time!A:A,Time!C:C)+
(
TIMEVALUE(LEFT(G44,8))+(MID(G44,10,3)/86400000)
-
(
TIMEVALUE(LEFT(_xlfn.XLOOKUP(A44,Time!A:A,Time!B:B),8))+
(MID(_xlfn.XLOOKUP(A44,Time!A:A,Time!B:B),10,3)/86400000)
)
),
"hh:mm:ss"
)
)</f>
        <v>22:43:41</v>
      </c>
      <c r="J44" t="s">
        <v>21</v>
      </c>
      <c r="K44" t="s">
        <v>22</v>
      </c>
      <c r="L44" t="s">
        <v>103</v>
      </c>
    </row>
    <row r="45" spans="1:12" x14ac:dyDescent="0.25">
      <c r="A45" t="s">
        <v>98</v>
      </c>
      <c r="B45" t="s">
        <v>25</v>
      </c>
      <c r="C45">
        <v>44</v>
      </c>
      <c r="D45" t="s">
        <v>15</v>
      </c>
      <c r="E45" t="s">
        <v>14</v>
      </c>
      <c r="F45" t="s">
        <v>19</v>
      </c>
      <c r="G45" t="s">
        <v>104</v>
      </c>
      <c r="H45" t="str">
        <f>IF(
F45&lt;&gt;"outgoing",
"",
TEXT(
_xlfn.XLOOKUP(A45,Time!A:A,Time!C:C)+
(
TIMEVALUE(LEFT(G45,8))+(MID(G45,10,3)/86400000)
-
(
TIMEVALUE(LEFT(_xlfn.XLOOKUP(A45,Time!A:A,Time!B:B),8))+
(MID(_xlfn.XLOOKUP(A45,Time!A:A,Time!B:B),10,3)/86400000)
)
),
"hh:mm:ss"
)
)</f>
        <v>22:44:00</v>
      </c>
      <c r="J45" t="s">
        <v>21</v>
      </c>
      <c r="K45" t="s">
        <v>22</v>
      </c>
      <c r="L45" t="s">
        <v>105</v>
      </c>
    </row>
    <row r="46" spans="1:12" x14ac:dyDescent="0.25">
      <c r="A46" t="s">
        <v>98</v>
      </c>
      <c r="B46" t="s">
        <v>25</v>
      </c>
      <c r="C46">
        <v>45</v>
      </c>
      <c r="D46" t="s">
        <v>15</v>
      </c>
      <c r="E46" t="s">
        <v>14</v>
      </c>
      <c r="F46" t="s">
        <v>19</v>
      </c>
      <c r="G46" t="s">
        <v>106</v>
      </c>
      <c r="H46" t="str">
        <f>IF(
F46&lt;&gt;"outgoing",
"",
TEXT(
_xlfn.XLOOKUP(A46,Time!A:A,Time!C:C)+
(
TIMEVALUE(LEFT(G46,8))+(MID(G46,10,3)/86400000)
-
(
TIMEVALUE(LEFT(_xlfn.XLOOKUP(A46,Time!A:A,Time!B:B),8))+
(MID(_xlfn.XLOOKUP(A46,Time!A:A,Time!B:B),10,3)/86400000)
)
),
"hh:mm:ss"
)
)</f>
        <v>22:44:57</v>
      </c>
      <c r="J46" t="s">
        <v>21</v>
      </c>
      <c r="K46" t="s">
        <v>22</v>
      </c>
      <c r="L46" t="s">
        <v>107</v>
      </c>
    </row>
    <row r="47" spans="1:12" x14ac:dyDescent="0.25">
      <c r="A47" t="s">
        <v>98</v>
      </c>
      <c r="B47" t="s">
        <v>25</v>
      </c>
      <c r="C47">
        <v>46</v>
      </c>
      <c r="D47" t="s">
        <v>15</v>
      </c>
      <c r="E47" t="s">
        <v>14</v>
      </c>
      <c r="F47" t="s">
        <v>19</v>
      </c>
      <c r="G47" t="s">
        <v>108</v>
      </c>
      <c r="H47" t="str">
        <f>IF(
F47&lt;&gt;"outgoing",
"",
TEXT(
_xlfn.XLOOKUP(A47,Time!A:A,Time!C:C)+
(
TIMEVALUE(LEFT(G47,8))+(MID(G47,10,3)/86400000)
-
(
TIMEVALUE(LEFT(_xlfn.XLOOKUP(A47,Time!A:A,Time!B:B),8))+
(MID(_xlfn.XLOOKUP(A47,Time!A:A,Time!B:B),10,3)/86400000)
)
),
"hh:mm:ss"
)
)</f>
        <v>22:45:11</v>
      </c>
      <c r="J47" t="s">
        <v>44</v>
      </c>
      <c r="K47" t="s">
        <v>22</v>
      </c>
      <c r="L47"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pane ySplit="1" topLeftCell="A2" activePane="bottomLeft" state="frozen"/>
      <selection pane="bottomLeft" activeCell="K17" sqref="K17"/>
    </sheetView>
  </sheetViews>
  <sheetFormatPr baseColWidth="10" defaultColWidth="8.85546875" defaultRowHeight="15" x14ac:dyDescent="0.25"/>
  <cols>
    <col min="1" max="4" width="22" customWidth="1"/>
  </cols>
  <sheetData>
    <row r="1" spans="1:4" x14ac:dyDescent="0.25">
      <c r="A1" s="2" t="s">
        <v>0</v>
      </c>
      <c r="B1" s="2" t="s">
        <v>110</v>
      </c>
      <c r="C1" s="2" t="s">
        <v>111</v>
      </c>
      <c r="D1" s="2" t="s">
        <v>112</v>
      </c>
    </row>
    <row r="2" spans="1:4" x14ac:dyDescent="0.25">
      <c r="A2" t="s">
        <v>12</v>
      </c>
      <c r="B2" t="s">
        <v>113</v>
      </c>
      <c r="C2" s="1">
        <v>0.30138888888888887</v>
      </c>
      <c r="D2" s="3">
        <v>45258</v>
      </c>
    </row>
    <row r="3" spans="1:4" x14ac:dyDescent="0.25">
      <c r="A3" t="s">
        <v>24</v>
      </c>
      <c r="B3" t="s">
        <v>114</v>
      </c>
      <c r="C3" s="1">
        <v>0.35208333333333341</v>
      </c>
      <c r="D3" s="3">
        <v>45258</v>
      </c>
    </row>
    <row r="4" spans="1:4" x14ac:dyDescent="0.25">
      <c r="A4" t="s">
        <v>60</v>
      </c>
      <c r="B4" t="s">
        <v>115</v>
      </c>
      <c r="C4" s="1">
        <v>0.6381944444444444</v>
      </c>
      <c r="D4" s="3">
        <v>45258</v>
      </c>
    </row>
    <row r="5" spans="1:4" x14ac:dyDescent="0.25">
      <c r="A5" t="s">
        <v>63</v>
      </c>
      <c r="B5" t="s">
        <v>116</v>
      </c>
      <c r="C5" s="1">
        <v>0.68541666666666667</v>
      </c>
      <c r="D5" s="3">
        <v>45258</v>
      </c>
    </row>
    <row r="6" spans="1:4" x14ac:dyDescent="0.25">
      <c r="A6" t="s">
        <v>67</v>
      </c>
      <c r="B6" t="s">
        <v>117</v>
      </c>
      <c r="C6" s="1">
        <v>0.76527777777777772</v>
      </c>
      <c r="D6" s="3">
        <v>45258</v>
      </c>
    </row>
    <row r="7" spans="1:4" x14ac:dyDescent="0.25">
      <c r="A7" t="s">
        <v>83</v>
      </c>
      <c r="B7" t="s">
        <v>116</v>
      </c>
      <c r="C7" s="1">
        <v>0.79374999999999996</v>
      </c>
      <c r="D7" s="3">
        <v>45258</v>
      </c>
    </row>
    <row r="8" spans="1:4" x14ac:dyDescent="0.25">
      <c r="A8" t="s">
        <v>89</v>
      </c>
      <c r="B8" t="s">
        <v>116</v>
      </c>
      <c r="C8" s="1">
        <v>0.89097222222222228</v>
      </c>
      <c r="D8" s="3">
        <v>45258</v>
      </c>
    </row>
    <row r="9" spans="1:4" x14ac:dyDescent="0.25">
      <c r="A9" t="s">
        <v>95</v>
      </c>
      <c r="B9" t="s">
        <v>118</v>
      </c>
      <c r="C9" s="1">
        <v>0.89236111111111116</v>
      </c>
      <c r="D9" s="3">
        <v>45258</v>
      </c>
    </row>
    <row r="10" spans="1:4" x14ac:dyDescent="0.25">
      <c r="A10" t="s">
        <v>98</v>
      </c>
      <c r="B10" t="s">
        <v>119</v>
      </c>
      <c r="C10" s="1">
        <v>0.94722222222222219</v>
      </c>
      <c r="D10" s="3">
        <v>45258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Messages</vt:lpstr>
      <vt:lpstr>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flick.sebastian flick.sebastian</cp:lastModifiedBy>
  <dcterms:created xsi:type="dcterms:W3CDTF">2026-06-28T20:45:14Z</dcterms:created>
  <dcterms:modified xsi:type="dcterms:W3CDTF">2026-06-29T14:37:05Z</dcterms:modified>
</cp:coreProperties>
</file>