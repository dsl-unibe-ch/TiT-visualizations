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jas/Documents/01_Uni/Doktorat/Dissertation/Datenanalyse/analysis_tables/01_Databank_tables/"/>
    </mc:Choice>
  </mc:AlternateContent>
  <xr:revisionPtr revIDLastSave="0" documentId="13_ncr:1_{95D7C630-01BE-6344-8CC6-8C773E16C4E6}" xr6:coauthVersionLast="47" xr6:coauthVersionMax="47" xr10:uidLastSave="{00000000-0000-0000-0000-000000000000}"/>
  <bookViews>
    <workbookView xWindow="0" yWindow="500" windowWidth="68800" windowHeight="27060" activeTab="1" xr2:uid="{00000000-000D-0000-FFFF-FFFF00000000}"/>
  </bookViews>
  <sheets>
    <sheet name="Messages" sheetId="1" r:id="rId1"/>
    <sheet name="Ti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44" i="1"/>
  <c r="H43" i="1"/>
  <c r="H42" i="1"/>
  <c r="H41" i="1"/>
  <c r="H40" i="1"/>
  <c r="H39" i="1"/>
  <c r="H38" i="1"/>
  <c r="H37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8" i="1"/>
  <c r="H17" i="1"/>
  <c r="H16" i="1"/>
  <c r="H15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<sst xmlns="http://schemas.openxmlformats.org/spreadsheetml/2006/main" count="414" uniqueCount="122">
  <si>
    <t>recording_id</t>
  </si>
  <si>
    <t>platform</t>
  </si>
  <si>
    <t>message_id</t>
  </si>
  <si>
    <t>author</t>
  </si>
  <si>
    <t>recipient</t>
  </si>
  <si>
    <t>direction</t>
  </si>
  <si>
    <t>t_mmss</t>
  </si>
  <si>
    <t>t_sent</t>
  </si>
  <si>
    <t>t_received</t>
  </si>
  <si>
    <t>message_type</t>
  </si>
  <si>
    <t>language</t>
  </si>
  <si>
    <t>text</t>
  </si>
  <si>
    <t>004FELI-04-001</t>
  </si>
  <si>
    <t>WhatsApp</t>
  </si>
  <si>
    <t>Felicitas Albrecht</t>
  </si>
  <si>
    <t>Gruppe: Albrecht</t>
  </si>
  <si>
    <t>outgoing</t>
  </si>
  <si>
    <t>00:00:48.816</t>
  </si>
  <si>
    <t>Text; Emoji</t>
  </si>
  <si>
    <t>DE</t>
  </si>
  <si>
    <t>Na schneechaos in ORTSNAME? Ich bin mit meinem bombtrack an die Uni fahren und kann den Schnee problemlos trotzen ⚡️⚡️⚡️</t>
  </si>
  <si>
    <t>004FELI-04-002</t>
  </si>
  <si>
    <t>Tina Albrecht</t>
  </si>
  <si>
    <t>incoming</t>
  </si>
  <si>
    <t>Bild; Text</t>
  </si>
  <si>
    <t>Mir gefällt es</t>
  </si>
  <si>
    <t>Bert Albrecht</t>
  </si>
  <si>
    <t>Text; Emoticon</t>
  </si>
  <si>
    <t>Mir nicht!!!:-/</t>
  </si>
  <si>
    <t>Text</t>
  </si>
  <si>
    <t>Pass gut auf!!!
Es ist die weiße Hölle!!!</t>
  </si>
  <si>
    <t>00:00:15.729</t>
  </si>
  <si>
    <t>Ich hasse es auch</t>
  </si>
  <si>
    <t>004FELI-04-003</t>
  </si>
  <si>
    <t>Ihr könnt ja eine Volksabstimmung zur Abschaffung des Winters anregen</t>
  </si>
  <si>
    <t>00:00:06.294</t>
  </si>
  <si>
    <t>Au ja</t>
  </si>
  <si>
    <t>004FELI-04-004</t>
  </si>
  <si>
    <t>Emoji</t>
  </si>
  <si>
    <t>Multimodal</t>
  </si>
  <si>
    <t>🤦‍♀️🧑‍🎄</t>
  </si>
  <si>
    <t>004FELI-04-005</t>
  </si>
  <si>
    <t>Instagram</t>
  </si>
  <si>
    <t>Video</t>
  </si>
  <si>
    <t>00:01:04.831</t>
  </si>
  <si>
    <t>Reaktion</t>
  </si>
  <si>
    <t>❤️</t>
  </si>
  <si>
    <t>004FELI-04-006</t>
  </si>
  <si>
    <t>André Taber</t>
  </si>
  <si>
    <t>Bin ne Stunde auf der Rolle. Wenn ich danach noch lebe Kaffee ?</t>
  </si>
  <si>
    <t>00:00:24.340</t>
  </si>
  <si>
    <t xml:space="preserve">Jo. Bei dir? </t>
  </si>
  <si>
    <t>unsent</t>
  </si>
  <si>
    <t>00:00:30.421</t>
  </si>
  <si>
    <t>Und wann wä</t>
  </si>
  <si>
    <t>Unverzichtbare Adventsartikel</t>
  </si>
  <si>
    <t>00:00:55.483</t>
  </si>
  <si>
    <t>Unverzichtbarer!!</t>
  </si>
  <si>
    <t>Wollen wir uns morgen mittags kurz treffen Zwecks der Übergabe?</t>
  </si>
  <si>
    <t>00:01:03.365</t>
  </si>
  <si>
    <t>Gern</t>
  </si>
  <si>
    <t>00:01:05.756</t>
  </si>
  <si>
    <t>Näheres</t>
  </si>
  <si>
    <t>00:01:08.601</t>
  </si>
  <si>
    <t>Emoticon</t>
  </si>
  <si>
    <t>:)</t>
  </si>
  <si>
    <t>00:01:32.649</t>
  </si>
  <si>
    <t>Machen wir 18.30? Da kann ich auch noch 30 min auf die Rolle</t>
  </si>
  <si>
    <t>Wann past es?</t>
  </si>
  <si>
    <t>00:01:44.310</t>
  </si>
  <si>
    <t>So 13,14?</t>
  </si>
  <si>
    <t>004FELI-04-007</t>
  </si>
  <si>
    <t>Okay dann 13 Uhr 🕐</t>
  </si>
  <si>
    <t>Supi freue mich</t>
  </si>
  <si>
    <t>:-)</t>
  </si>
  <si>
    <t>Biste noch an der Uni?</t>
  </si>
  <si>
    <t>00:00:14.450</t>
  </si>
  <si>
    <t xml:space="preserve">Ja ein bisschen noch </t>
  </si>
  <si>
    <t>004FELI-04-008</t>
  </si>
  <si>
    <t>Pass dann gut Auf
Vor allem auf die bösen 🚙 SUV Fahrer…..</t>
  </si>
  <si>
    <t>00:00:09.704</t>
  </si>
  <si>
    <t>Logo</t>
  </si>
  <si>
    <t>00:00:20.976</t>
  </si>
  <si>
    <t>Straßen sind aber frei hier in XX :-)</t>
  </si>
  <si>
    <t>Uff
:-)</t>
  </si>
  <si>
    <t>004FELI-04-009</t>
  </si>
  <si>
    <t>Lieber unterwegs (:</t>
  </si>
  <si>
    <t>00:00:25.215</t>
  </si>
  <si>
    <t>Machen wir :). Ich komm von der Uni, also so 18.15 OrtXXXXXXXXX?</t>
  </si>
  <si>
    <t>004FELI-04-010</t>
  </si>
  <si>
    <t>Ich sag dir ob ich fit bin (:</t>
  </si>
  <si>
    <t>00:00:12.729</t>
  </si>
  <si>
    <t>🤝</t>
  </si>
  <si>
    <t>00:00:18.856</t>
  </si>
  <si>
    <t>004FELI-04-012</t>
  </si>
  <si>
    <t>Ich glaube ich passe die Woche. Ich bin gar nicht fit und frustriert.</t>
  </si>
  <si>
    <t>00:01:03.492</t>
  </si>
  <si>
    <t>Oh man. Ich versteh dich.</t>
  </si>
  <si>
    <t>004FELI-04-013</t>
  </si>
  <si>
    <t>00:00:08.994</t>
  </si>
  <si>
    <t>Bin zu Hause 🏠</t>
  </si>
  <si>
    <t>004FELI-04-014</t>
  </si>
  <si>
    <t>00:00:13.066</t>
  </si>
  <si>
    <t>Was mir grad einfällt: morgen ist der 1.12. - Postkartentag. :)</t>
  </si>
  <si>
    <t>004FELI-04-016</t>
  </si>
  <si>
    <t>Wünsche einen schönen gemütlichen Feierabend!!!
Bimo</t>
  </si>
  <si>
    <t>Geht doch den ganzen Dezember?</t>
  </si>
  <si>
    <t>004FELI-04-017</t>
  </si>
  <si>
    <t>00:00:46.721</t>
  </si>
  <si>
    <t>Na gut Postkarten- start Tag. Aber ich mag das Gefühl jetzt schon was für Mai zu machen.</t>
  </si>
  <si>
    <t>anchor_video_time</t>
  </si>
  <si>
    <t>anchor_clock_time</t>
  </si>
  <si>
    <t>recording_date</t>
  </si>
  <si>
    <t>00:00:25.092</t>
  </si>
  <si>
    <t>00:00:03.960</t>
  </si>
  <si>
    <t>00:00:03.544</t>
  </si>
  <si>
    <t>00:00:38.716</t>
  </si>
  <si>
    <t>00:00:30.212</t>
  </si>
  <si>
    <t>00:00:14.424</t>
  </si>
  <si>
    <t>00:00:22.848</t>
  </si>
  <si>
    <t>00:00:00.000</t>
  </si>
  <si>
    <t>00:00:03.899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</si>
</sst>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workbookViewId="0">
      <pane ySplit="1" topLeftCell="A2" activePane="bottomLeft" state="frozen"/>
      <selection pane="bottomLeft" sqref="A1:L1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3" customWidth="1"/>
    <col min="4" max="5" width="24" customWidth="1"/>
    <col min="6" max="8" width="12" customWidth="1"/>
    <col min="9" max="9" width="13" customWidth="1"/>
    <col min="10" max="10" width="15" customWidth="1"/>
    <col min="11" max="11" width="12" customWidth="1"/>
    <col min="12" max="12" width="60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tr">
        <f>IF(
F2&lt;&gt;"outgoing",
"",
TEXT(
_xlfn.XLOOKUP(A2,Time!A:A,Time!C:C)+
(
TIMEVALUE(LEFT(G2,8))+(MID(G2,10,3)/86400000)
-
(
TIMEVALUE(LEFT(_xlfn.XLOOKUP(A2,Time!A:A,Time!B:B),8))+
(MID(_xlfn.XLOOKUP(A2,Time!A:A,Time!B:B),10,3)/86400000)
)
),
"hh:mm:ss"
)
)</f>
        <v>10:01:24</v>
      </c>
      <c r="J2" t="s">
        <v>18</v>
      </c>
      <c r="K2" t="s">
        <v>19</v>
      </c>
      <c r="L2" t="s">
        <v>20</v>
      </c>
    </row>
    <row r="3" spans="1:12" x14ac:dyDescent="0.2">
      <c r="A3" t="s">
        <v>21</v>
      </c>
      <c r="B3" t="s">
        <v>13</v>
      </c>
      <c r="C3">
        <v>2</v>
      </c>
      <c r="D3" t="s">
        <v>22</v>
      </c>
      <c r="E3" t="s">
        <v>15</v>
      </c>
      <c r="F3" t="s">
        <v>23</v>
      </c>
      <c r="H3" t="str">
        <f>IF(
F3&lt;&gt;"outgoing",
"",
TEXT(
_xlfn.XLOOKUP(A3,Time!A:A,Time!C:C)+
(
TIMEVALUE(LEFT(G3,8))+(MID(G3,10,3)/86400000)
-
(
TIMEVALUE(LEFT(_xlfn.XLOOKUP(A3,Time!A:A,Time!B:B),8))+
(MID(_xlfn.XLOOKUP(A3,Time!A:A,Time!B:B),10,3)/86400000)
)
),
"hh:mm:ss"
)
)</f>
        <v/>
      </c>
      <c r="I3" s="1">
        <v>0.41805555555555562</v>
      </c>
      <c r="J3" t="s">
        <v>24</v>
      </c>
      <c r="K3" t="s">
        <v>19</v>
      </c>
      <c r="L3" t="s">
        <v>25</v>
      </c>
    </row>
    <row r="4" spans="1:12" x14ac:dyDescent="0.2">
      <c r="A4" t="s">
        <v>21</v>
      </c>
      <c r="B4" t="s">
        <v>13</v>
      </c>
      <c r="C4">
        <v>3</v>
      </c>
      <c r="D4" t="s">
        <v>26</v>
      </c>
      <c r="E4" t="s">
        <v>15</v>
      </c>
      <c r="F4" t="s">
        <v>23</v>
      </c>
      <c r="H4" t="str">
        <f>IF(
F4&lt;&gt;"outgoing",
"",
TEXT(
_xlfn.XLOOKUP(A4,Time!A:A,Time!C:C)+
(
TIMEVALUE(LEFT(G4,8))+(MID(G4,10,3)/86400000)
-
(
TIMEVALUE(LEFT(_xlfn.XLOOKUP(A4,Time!A:A,Time!B:B),8))+
(MID(_xlfn.XLOOKUP(A4,Time!A:A,Time!B:B),10,3)/86400000)
)
),
"hh:mm:ss"
)
)</f>
        <v/>
      </c>
      <c r="I4" s="1">
        <v>0.41805555555555562</v>
      </c>
      <c r="J4" t="s">
        <v>27</v>
      </c>
      <c r="K4" t="s">
        <v>19</v>
      </c>
      <c r="L4" t="s">
        <v>28</v>
      </c>
    </row>
    <row r="5" spans="1:12" x14ac:dyDescent="0.2">
      <c r="A5" t="s">
        <v>21</v>
      </c>
      <c r="B5" t="s">
        <v>13</v>
      </c>
      <c r="C5">
        <v>4</v>
      </c>
      <c r="D5" t="s">
        <v>26</v>
      </c>
      <c r="E5" t="s">
        <v>15</v>
      </c>
      <c r="F5" t="s">
        <v>23</v>
      </c>
      <c r="H5" t="str">
        <f>IF(
F5&lt;&gt;"outgoing",
"",
TEXT(
_xlfn.XLOOKUP(A5,Time!A:A,Time!C:C)+
(
TIMEVALUE(LEFT(G5,8))+(MID(G5,10,3)/86400000)
-
(
TIMEVALUE(LEFT(_xlfn.XLOOKUP(A5,Time!A:A,Time!B:B),8))+
(MID(_xlfn.XLOOKUP(A5,Time!A:A,Time!B:B),10,3)/86400000)
)
),
"hh:mm:ss"
)
)</f>
        <v/>
      </c>
      <c r="I5" s="1">
        <v>0.41875000000000001</v>
      </c>
      <c r="J5" t="s">
        <v>29</v>
      </c>
      <c r="K5" t="s">
        <v>19</v>
      </c>
      <c r="L5" t="s">
        <v>30</v>
      </c>
    </row>
    <row r="6" spans="1:12" x14ac:dyDescent="0.2">
      <c r="A6" t="s">
        <v>21</v>
      </c>
      <c r="B6" t="s">
        <v>13</v>
      </c>
      <c r="C6">
        <v>5</v>
      </c>
      <c r="D6" t="s">
        <v>14</v>
      </c>
      <c r="E6" t="s">
        <v>15</v>
      </c>
      <c r="F6" t="s">
        <v>16</v>
      </c>
      <c r="G6" t="s">
        <v>31</v>
      </c>
      <c r="H6" t="str">
        <f>IF(
F6&lt;&gt;"outgoing",
"",
TEXT(
_xlfn.XLOOKUP(A6,Time!A:A,Time!C:C)+
(
TIMEVALUE(LEFT(G6,8))+(MID(G6,10,3)/86400000)
-
(
TIMEVALUE(LEFT(_xlfn.XLOOKUP(A6,Time!A:A,Time!B:B),8))+
(MID(_xlfn.XLOOKUP(A6,Time!A:A,Time!B:B),10,3)/86400000)
)
),
"hh:mm:ss"
)
)</f>
        <v>10:15:12</v>
      </c>
      <c r="J6" t="s">
        <v>29</v>
      </c>
      <c r="K6" t="s">
        <v>19</v>
      </c>
      <c r="L6" t="s">
        <v>32</v>
      </c>
    </row>
    <row r="7" spans="1:12" x14ac:dyDescent="0.2">
      <c r="A7" t="s">
        <v>33</v>
      </c>
      <c r="B7" t="s">
        <v>13</v>
      </c>
      <c r="C7">
        <v>6</v>
      </c>
      <c r="D7" t="s">
        <v>22</v>
      </c>
      <c r="E7" t="s">
        <v>15</v>
      </c>
      <c r="F7" t="s">
        <v>23</v>
      </c>
      <c r="H7" t="str">
        <f>IF(
F7&lt;&gt;"outgoing",
"",
TEXT(
_xlfn.XLOOKUP(A7,Time!A:A,Time!C:C)+
(
TIMEVALUE(LEFT(G7,8))+(MID(G7,10,3)/86400000)
-
(
TIMEVALUE(LEFT(_xlfn.XLOOKUP(A7,Time!A:A,Time!B:B),8))+
(MID(_xlfn.XLOOKUP(A7,Time!A:A,Time!B:B),10,3)/86400000)
)
),
"hh:mm:ss"
)
)</f>
        <v/>
      </c>
      <c r="I7" s="1">
        <v>0.42777777777777781</v>
      </c>
      <c r="J7" t="s">
        <v>29</v>
      </c>
      <c r="K7" t="s">
        <v>19</v>
      </c>
      <c r="L7" t="s">
        <v>34</v>
      </c>
    </row>
    <row r="8" spans="1:12" x14ac:dyDescent="0.2">
      <c r="A8" t="s">
        <v>33</v>
      </c>
      <c r="B8" t="s">
        <v>13</v>
      </c>
      <c r="C8">
        <v>7</v>
      </c>
      <c r="D8" t="s">
        <v>14</v>
      </c>
      <c r="E8" t="s">
        <v>15</v>
      </c>
      <c r="F8" t="s">
        <v>16</v>
      </c>
      <c r="G8" t="s">
        <v>35</v>
      </c>
      <c r="H8" t="str">
        <f>IF(
F8&lt;&gt;"outgoing",
"",
TEXT(
_xlfn.XLOOKUP(A8,Time!A:A,Time!C:C)+
(
TIMEVALUE(LEFT(G8,8))+(MID(G8,10,3)/86400000)
-
(
TIMEVALUE(LEFT(_xlfn.XLOOKUP(A8,Time!A:A,Time!B:B),8))+
(MID(_xlfn.XLOOKUP(A8,Time!A:A,Time!B:B),10,3)/86400000)
)
),
"hh:mm:ss"
)
)</f>
        <v>10:28:03</v>
      </c>
      <c r="J8" t="s">
        <v>29</v>
      </c>
      <c r="K8" t="s">
        <v>19</v>
      </c>
      <c r="L8" t="s">
        <v>36</v>
      </c>
    </row>
    <row r="9" spans="1:12" x14ac:dyDescent="0.2">
      <c r="A9" t="s">
        <v>37</v>
      </c>
      <c r="B9" t="s">
        <v>13</v>
      </c>
      <c r="C9">
        <v>8</v>
      </c>
      <c r="D9" t="s">
        <v>22</v>
      </c>
      <c r="E9" t="s">
        <v>15</v>
      </c>
      <c r="F9" t="s">
        <v>23</v>
      </c>
      <c r="H9" t="str">
        <f>IF(
F9&lt;&gt;"outgoing",
"",
TEXT(
_xlfn.XLOOKUP(A9,Time!A:A,Time!C:C)+
(
TIMEVALUE(LEFT(G9,8))+(MID(G9,10,3)/86400000)
-
(
TIMEVALUE(LEFT(_xlfn.XLOOKUP(A9,Time!A:A,Time!B:B),8))+
(MID(_xlfn.XLOOKUP(A9,Time!A:A,Time!B:B),10,3)/86400000)
)
),
"hh:mm:ss"
)
)</f>
        <v/>
      </c>
      <c r="I9" s="1">
        <v>0.43680555555555561</v>
      </c>
      <c r="J9" t="s">
        <v>38</v>
      </c>
      <c r="K9" t="s">
        <v>39</v>
      </c>
      <c r="L9" t="s">
        <v>40</v>
      </c>
    </row>
    <row r="10" spans="1:12" x14ac:dyDescent="0.2">
      <c r="A10" t="s">
        <v>41</v>
      </c>
      <c r="B10" t="s">
        <v>42</v>
      </c>
      <c r="C10">
        <v>9</v>
      </c>
      <c r="D10" t="s">
        <v>26</v>
      </c>
      <c r="E10" t="s">
        <v>14</v>
      </c>
      <c r="F10" t="s">
        <v>23</v>
      </c>
      <c r="H10" t="str">
        <f>IF(
F10&lt;&gt;"outgoing",
"",
TEXT(
_xlfn.XLOOKUP(A10,Time!A:A,Time!C:C)+
(
TIMEVALUE(LEFT(G10,8))+(MID(G10,10,3)/86400000)
-
(
TIMEVALUE(LEFT(_xlfn.XLOOKUP(A10,Time!A:A,Time!B:B),8))+
(MID(_xlfn.XLOOKUP(A10,Time!A:A,Time!B:B),10,3)/86400000)
)
),
"hh:mm:ss"
)
)</f>
        <v/>
      </c>
      <c r="I10" s="1">
        <v>0.56597222222222221</v>
      </c>
      <c r="J10" t="s">
        <v>43</v>
      </c>
      <c r="K10" t="s">
        <v>19</v>
      </c>
    </row>
    <row r="11" spans="1:12" x14ac:dyDescent="0.2">
      <c r="A11" t="s">
        <v>41</v>
      </c>
      <c r="B11" t="s">
        <v>42</v>
      </c>
      <c r="C11">
        <v>10</v>
      </c>
      <c r="D11" t="s">
        <v>14</v>
      </c>
      <c r="E11" t="s">
        <v>26</v>
      </c>
      <c r="F11" t="s">
        <v>16</v>
      </c>
      <c r="G11" t="s">
        <v>44</v>
      </c>
      <c r="H11" t="str">
        <f>IF(
F11&lt;&gt;"outgoing",
"",
TEXT(
_xlfn.XLOOKUP(A11,Time!A:A,Time!C:C)+
(
TIMEVALUE(LEFT(G11,8))+(MID(G11,10,3)/86400000)
-
(
TIMEVALUE(LEFT(_xlfn.XLOOKUP(A11,Time!A:A,Time!B:B),8))+
(MID(_xlfn.XLOOKUP(A11,Time!A:A,Time!B:B),10,3)/86400000)
)
),
"hh:mm:ss"
)
)</f>
        <v>13:54:26</v>
      </c>
      <c r="J11" t="s">
        <v>45</v>
      </c>
      <c r="K11" t="s">
        <v>39</v>
      </c>
      <c r="L11" t="s">
        <v>46</v>
      </c>
    </row>
    <row r="12" spans="1:12" x14ac:dyDescent="0.2">
      <c r="A12" t="s">
        <v>47</v>
      </c>
      <c r="B12" t="s">
        <v>13</v>
      </c>
      <c r="C12">
        <v>11</v>
      </c>
      <c r="D12" t="s">
        <v>48</v>
      </c>
      <c r="E12" t="s">
        <v>14</v>
      </c>
      <c r="F12" t="s">
        <v>23</v>
      </c>
      <c r="H12" t="str">
        <f>IF(
F12&lt;&gt;"outgoing",
"",
TEXT(
_xlfn.XLOOKUP(A12,Time!A:A,Time!C:C)+
(
TIMEVALUE(LEFT(G12,8))+(MID(G12,10,3)/86400000)
-
(
TIMEVALUE(LEFT(_xlfn.XLOOKUP(A12,Time!A:A,Time!B:B),8))+
(MID(_xlfn.XLOOKUP(A12,Time!A:A,Time!B:B),10,3)/86400000)
)
),
"hh:mm:ss"
)
)</f>
        <v/>
      </c>
      <c r="I12" s="1">
        <v>0.70694444444444449</v>
      </c>
      <c r="J12" t="s">
        <v>29</v>
      </c>
      <c r="K12" t="s">
        <v>19</v>
      </c>
      <c r="L12" t="s">
        <v>49</v>
      </c>
    </row>
    <row r="13" spans="1:12" x14ac:dyDescent="0.2">
      <c r="A13" t="s">
        <v>47</v>
      </c>
      <c r="B13" t="s">
        <v>13</v>
      </c>
      <c r="C13">
        <v>12</v>
      </c>
      <c r="D13" t="s">
        <v>14</v>
      </c>
      <c r="E13" t="s">
        <v>48</v>
      </c>
      <c r="F13" t="s">
        <v>16</v>
      </c>
      <c r="G13" t="s">
        <v>50</v>
      </c>
      <c r="H13" t="str">
        <f>IF(
F13&lt;&gt;"outgoing",
"",
TEXT(
_xlfn.XLOOKUP(A13,Time!A:A,Time!C:C)+
(
TIMEVALUE(LEFT(G13,8))+(MID(G13,10,3)/86400000)
-
(
TIMEVALUE(LEFT(_xlfn.XLOOKUP(A13,Time!A:A,Time!B:B),8))+
(MID(_xlfn.XLOOKUP(A13,Time!A:A,Time!B:B),10,3)/86400000)
)
),
"hh:mm:ss"
)
)</f>
        <v>17:01:54</v>
      </c>
      <c r="J13" t="s">
        <v>29</v>
      </c>
      <c r="K13" t="s">
        <v>19</v>
      </c>
      <c r="L13" t="s">
        <v>51</v>
      </c>
    </row>
    <row r="14" spans="1:12" x14ac:dyDescent="0.2">
      <c r="A14" t="s">
        <v>47</v>
      </c>
      <c r="B14" t="s">
        <v>13</v>
      </c>
      <c r="C14">
        <v>13</v>
      </c>
      <c r="D14" t="s">
        <v>14</v>
      </c>
      <c r="E14" t="s">
        <v>48</v>
      </c>
      <c r="F14" t="s">
        <v>52</v>
      </c>
      <c r="G14" t="s">
        <v>53</v>
      </c>
      <c r="H14" s="1">
        <v>0.70972222222222225</v>
      </c>
      <c r="J14" t="s">
        <v>29</v>
      </c>
      <c r="K14" t="s">
        <v>19</v>
      </c>
      <c r="L14" t="s">
        <v>54</v>
      </c>
    </row>
    <row r="15" spans="1:12" x14ac:dyDescent="0.2">
      <c r="A15" t="s">
        <v>47</v>
      </c>
      <c r="B15" t="s">
        <v>13</v>
      </c>
      <c r="C15">
        <v>14</v>
      </c>
      <c r="D15" t="s">
        <v>26</v>
      </c>
      <c r="E15" t="s">
        <v>14</v>
      </c>
      <c r="F15" t="s">
        <v>23</v>
      </c>
      <c r="H15" t="str">
        <f>IF(
F15&lt;&gt;"outgoing",
"",
TEXT(
_xlfn.XLOOKUP(A15,Time!A:A,Time!C:C)+
(
TIMEVALUE(LEFT(G15,8))+(MID(G15,10,3)/86400000)
-
(
TIMEVALUE(LEFT(_xlfn.XLOOKUP(A15,Time!A:A,Time!B:B),8))+
(MID(_xlfn.XLOOKUP(A15,Time!A:A,Time!B:B),10,3)/86400000)
)
),
"hh:mm:ss"
)
)</f>
        <v/>
      </c>
      <c r="I15" s="1">
        <v>0.70902777777777781</v>
      </c>
      <c r="J15" t="s">
        <v>24</v>
      </c>
      <c r="K15" t="s">
        <v>19</v>
      </c>
      <c r="L15" t="s">
        <v>55</v>
      </c>
    </row>
    <row r="16" spans="1:12" x14ac:dyDescent="0.2">
      <c r="A16" t="s">
        <v>47</v>
      </c>
      <c r="B16" t="s">
        <v>13</v>
      </c>
      <c r="C16">
        <v>15</v>
      </c>
      <c r="D16" t="s">
        <v>14</v>
      </c>
      <c r="E16" t="s">
        <v>26</v>
      </c>
      <c r="F16" t="s">
        <v>16</v>
      </c>
      <c r="G16" t="s">
        <v>56</v>
      </c>
      <c r="H16" t="str">
        <f>IF(
F16&lt;&gt;"outgoing",
"",
TEXT(
_xlfn.XLOOKUP(A16,Time!A:A,Time!C:C)+
(
TIMEVALUE(LEFT(G16,8))+(MID(G16,10,3)/86400000)
-
(
TIMEVALUE(LEFT(_xlfn.XLOOKUP(A16,Time!A:A,Time!B:B),8))+
(MID(_xlfn.XLOOKUP(A16,Time!A:A,Time!B:B),10,3)/86400000)
)
),
"hh:mm:ss"
)
)</f>
        <v>17:02:25</v>
      </c>
      <c r="J16" t="s">
        <v>29</v>
      </c>
      <c r="K16" t="s">
        <v>19</v>
      </c>
      <c r="L16" t="s">
        <v>57</v>
      </c>
    </row>
    <row r="17" spans="1:12" x14ac:dyDescent="0.2">
      <c r="A17" t="s">
        <v>47</v>
      </c>
      <c r="B17" t="s">
        <v>13</v>
      </c>
      <c r="C17">
        <v>16</v>
      </c>
      <c r="D17" t="s">
        <v>26</v>
      </c>
      <c r="E17" t="s">
        <v>14</v>
      </c>
      <c r="F17" t="s">
        <v>23</v>
      </c>
      <c r="H17" t="str">
        <f>IF(
F17&lt;&gt;"outgoing",
"",
TEXT(
_xlfn.XLOOKUP(A17,Time!A:A,Time!C:C)+
(
TIMEVALUE(LEFT(G17,8))+(MID(G17,10,3)/86400000)
-
(
TIMEVALUE(LEFT(_xlfn.XLOOKUP(A17,Time!A:A,Time!B:B),8))+
(MID(_xlfn.XLOOKUP(A17,Time!A:A,Time!B:B),10,3)/86400000)
)
),
"hh:mm:ss"
)
)</f>
        <v/>
      </c>
      <c r="I17" s="1">
        <v>0.70972222222222225</v>
      </c>
      <c r="J17" t="s">
        <v>29</v>
      </c>
      <c r="K17" t="s">
        <v>19</v>
      </c>
      <c r="L17" t="s">
        <v>58</v>
      </c>
    </row>
    <row r="18" spans="1:12" x14ac:dyDescent="0.2">
      <c r="A18" t="s">
        <v>47</v>
      </c>
      <c r="B18" t="s">
        <v>13</v>
      </c>
      <c r="C18">
        <v>17</v>
      </c>
      <c r="D18" t="s">
        <v>14</v>
      </c>
      <c r="E18" t="s">
        <v>26</v>
      </c>
      <c r="F18" t="s">
        <v>16</v>
      </c>
      <c r="G18" t="s">
        <v>59</v>
      </c>
      <c r="H18" t="str">
        <f>IF(
F18&lt;&gt;"outgoing",
"",
TEXT(
_xlfn.XLOOKUP(A18,Time!A:A,Time!C:C)+
(
TIMEVALUE(LEFT(G18,8))+(MID(G18,10,3)/86400000)
-
(
TIMEVALUE(LEFT(_xlfn.XLOOKUP(A18,Time!A:A,Time!B:B),8))+
(MID(_xlfn.XLOOKUP(A18,Time!A:A,Time!B:B),10,3)/86400000)
)
),
"hh:mm:ss"
)
)</f>
        <v>17:02:33</v>
      </c>
      <c r="J18" t="s">
        <v>29</v>
      </c>
      <c r="K18" t="s">
        <v>19</v>
      </c>
      <c r="L18" t="s">
        <v>60</v>
      </c>
    </row>
    <row r="19" spans="1:12" x14ac:dyDescent="0.2">
      <c r="A19" t="s">
        <v>47</v>
      </c>
      <c r="B19" t="s">
        <v>13</v>
      </c>
      <c r="C19">
        <v>18</v>
      </c>
      <c r="D19" t="s">
        <v>14</v>
      </c>
      <c r="E19" t="s">
        <v>26</v>
      </c>
      <c r="F19" t="s">
        <v>52</v>
      </c>
      <c r="G19" t="s">
        <v>61</v>
      </c>
      <c r="H19" s="1">
        <v>0.71013888888888888</v>
      </c>
      <c r="J19" t="s">
        <v>29</v>
      </c>
      <c r="K19" t="s">
        <v>19</v>
      </c>
      <c r="L19" t="s">
        <v>62</v>
      </c>
    </row>
    <row r="20" spans="1:12" x14ac:dyDescent="0.2">
      <c r="A20" t="s">
        <v>47</v>
      </c>
      <c r="B20" t="s">
        <v>13</v>
      </c>
      <c r="C20">
        <v>19</v>
      </c>
      <c r="D20" t="s">
        <v>14</v>
      </c>
      <c r="E20" t="s">
        <v>26</v>
      </c>
      <c r="F20" t="s">
        <v>16</v>
      </c>
      <c r="G20" t="s">
        <v>63</v>
      </c>
      <c r="H20" t="str">
        <f>IF(
F20&lt;&gt;"outgoing",
"",
TEXT(
_xlfn.XLOOKUP(A20,Time!A:A,Time!C:C)+
(
TIMEVALUE(LEFT(G20,8))+(MID(G20,10,3)/86400000)
-
(
TIMEVALUE(LEFT(_xlfn.XLOOKUP(A20,Time!A:A,Time!B:B),8))+
(MID(_xlfn.XLOOKUP(A20,Time!A:A,Time!B:B),10,3)/86400000)
)
),
"hh:mm:ss"
)
)</f>
        <v>17:02:38</v>
      </c>
      <c r="J20" t="s">
        <v>64</v>
      </c>
      <c r="K20" t="s">
        <v>39</v>
      </c>
      <c r="L20" t="s">
        <v>65</v>
      </c>
    </row>
    <row r="21" spans="1:12" x14ac:dyDescent="0.2">
      <c r="A21" t="s">
        <v>47</v>
      </c>
      <c r="B21" t="s">
        <v>13</v>
      </c>
      <c r="C21">
        <v>20</v>
      </c>
      <c r="D21" t="s">
        <v>14</v>
      </c>
      <c r="E21" t="s">
        <v>48</v>
      </c>
      <c r="F21" t="s">
        <v>16</v>
      </c>
      <c r="G21" t="s">
        <v>66</v>
      </c>
      <c r="H21" t="str">
        <f>IF(
F21&lt;&gt;"outgoing",
"",
TEXT(
_xlfn.XLOOKUP(A21,Time!A:A,Time!C:C)+
(
TIMEVALUE(LEFT(G21,8))+(MID(G21,10,3)/86400000)
-
(
TIMEVALUE(LEFT(_xlfn.XLOOKUP(A21,Time!A:A,Time!B:B),8))+
(MID(_xlfn.XLOOKUP(A21,Time!A:A,Time!B:B),10,3)/86400000)
)
),
"hh:mm:ss"
)
)</f>
        <v>17:03:02</v>
      </c>
      <c r="J21" t="s">
        <v>29</v>
      </c>
      <c r="K21" t="s">
        <v>19</v>
      </c>
      <c r="L21" t="s">
        <v>67</v>
      </c>
    </row>
    <row r="22" spans="1:12" x14ac:dyDescent="0.2">
      <c r="A22" t="s">
        <v>47</v>
      </c>
      <c r="B22" t="s">
        <v>13</v>
      </c>
      <c r="C22">
        <v>21</v>
      </c>
      <c r="D22" t="s">
        <v>26</v>
      </c>
      <c r="E22" t="s">
        <v>14</v>
      </c>
      <c r="F22" t="s">
        <v>23</v>
      </c>
      <c r="H22" t="str">
        <f>IF(
F22&lt;&gt;"outgoing",
"",
TEXT(
_xlfn.XLOOKUP(A22,Time!A:A,Time!C:C)+
(
TIMEVALUE(LEFT(G22,8))+(MID(G22,10,3)/86400000)
-
(
TIMEVALUE(LEFT(_xlfn.XLOOKUP(A22,Time!A:A,Time!B:B),8))+
(MID(_xlfn.XLOOKUP(A22,Time!A:A,Time!B:B),10,3)/86400000)
)
),
"hh:mm:ss"
)
)</f>
        <v/>
      </c>
      <c r="I22" s="1">
        <v>0.70972222222222225</v>
      </c>
      <c r="J22" t="s">
        <v>29</v>
      </c>
      <c r="K22" t="s">
        <v>19</v>
      </c>
      <c r="L22" t="s">
        <v>68</v>
      </c>
    </row>
    <row r="23" spans="1:12" x14ac:dyDescent="0.2">
      <c r="A23" t="s">
        <v>47</v>
      </c>
      <c r="B23" t="s">
        <v>13</v>
      </c>
      <c r="C23">
        <v>22</v>
      </c>
      <c r="D23" t="s">
        <v>14</v>
      </c>
      <c r="E23" t="s">
        <v>26</v>
      </c>
      <c r="F23" t="s">
        <v>16</v>
      </c>
      <c r="G23" t="s">
        <v>69</v>
      </c>
      <c r="H23" t="str">
        <f>IF(
F23&lt;&gt;"outgoing",
"",
TEXT(
_xlfn.XLOOKUP(A23,Time!A:A,Time!C:C)+
(
TIMEVALUE(LEFT(G23,8))+(MID(G23,10,3)/86400000)
-
(
TIMEVALUE(LEFT(_xlfn.XLOOKUP(A23,Time!A:A,Time!B:B),8))+
(MID(_xlfn.XLOOKUP(A23,Time!A:A,Time!B:B),10,3)/86400000)
)
),
"hh:mm:ss"
)
)</f>
        <v>17:03:14</v>
      </c>
      <c r="J23" t="s">
        <v>29</v>
      </c>
      <c r="K23" t="s">
        <v>19</v>
      </c>
      <c r="L23" t="s">
        <v>70</v>
      </c>
    </row>
    <row r="24" spans="1:12" x14ac:dyDescent="0.2">
      <c r="A24" t="s">
        <v>71</v>
      </c>
      <c r="B24" t="s">
        <v>13</v>
      </c>
      <c r="C24">
        <v>23</v>
      </c>
      <c r="D24" t="s">
        <v>26</v>
      </c>
      <c r="E24" t="s">
        <v>14</v>
      </c>
      <c r="F24" t="s">
        <v>23</v>
      </c>
      <c r="H24" t="str">
        <f>IF(
F24&lt;&gt;"outgoing",
"",
TEXT(
_xlfn.XLOOKUP(A24,Time!A:A,Time!C:C)+
(
TIMEVALUE(LEFT(G24,8))+(MID(G24,10,3)/86400000)
-
(
TIMEVALUE(LEFT(_xlfn.XLOOKUP(A24,Time!A:A,Time!B:B),8))+
(MID(_xlfn.XLOOKUP(A24,Time!A:A,Time!B:B),10,3)/86400000)
)
),
"hh:mm:ss"
)
)</f>
        <v/>
      </c>
      <c r="I24" s="1">
        <v>0.7104166666666667</v>
      </c>
      <c r="J24" t="s">
        <v>18</v>
      </c>
      <c r="K24" t="s">
        <v>19</v>
      </c>
      <c r="L24" t="s">
        <v>72</v>
      </c>
    </row>
    <row r="25" spans="1:12" x14ac:dyDescent="0.2">
      <c r="A25" t="s">
        <v>71</v>
      </c>
      <c r="B25" t="s">
        <v>13</v>
      </c>
      <c r="C25">
        <v>24</v>
      </c>
      <c r="D25" t="s">
        <v>14</v>
      </c>
      <c r="E25" t="s">
        <v>26</v>
      </c>
      <c r="F25" t="s">
        <v>16</v>
      </c>
      <c r="H25" s="1">
        <v>0.71180555555555558</v>
      </c>
      <c r="J25" t="s">
        <v>29</v>
      </c>
      <c r="K25" t="s">
        <v>19</v>
      </c>
      <c r="L25" t="s">
        <v>73</v>
      </c>
    </row>
    <row r="26" spans="1:12" x14ac:dyDescent="0.2">
      <c r="A26" t="s">
        <v>71</v>
      </c>
      <c r="B26" t="s">
        <v>13</v>
      </c>
      <c r="C26">
        <v>25</v>
      </c>
      <c r="D26" t="s">
        <v>26</v>
      </c>
      <c r="E26" t="s">
        <v>14</v>
      </c>
      <c r="F26" t="s">
        <v>23</v>
      </c>
      <c r="H26" t="str">
        <f>IF(
F26&lt;&gt;"outgoing",
"",
TEXT(
_xlfn.XLOOKUP(A26,Time!A:A,Time!C:C)+
(
TIMEVALUE(LEFT(G26,8))+(MID(G26,10,3)/86400000)
-
(
TIMEVALUE(LEFT(_xlfn.XLOOKUP(A26,Time!A:A,Time!B:B),8))+
(MID(_xlfn.XLOOKUP(A26,Time!A:A,Time!B:B),10,3)/86400000)
)
),
"hh:mm:ss"
)
)</f>
        <v/>
      </c>
      <c r="I26" s="1">
        <v>0.71250000000000002</v>
      </c>
      <c r="J26" t="s">
        <v>64</v>
      </c>
      <c r="K26" t="s">
        <v>19</v>
      </c>
      <c r="L26" t="s">
        <v>74</v>
      </c>
    </row>
    <row r="27" spans="1:12" x14ac:dyDescent="0.2">
      <c r="A27" t="s">
        <v>71</v>
      </c>
      <c r="B27" t="s">
        <v>13</v>
      </c>
      <c r="C27">
        <v>26</v>
      </c>
      <c r="D27" t="s">
        <v>26</v>
      </c>
      <c r="E27" t="s">
        <v>14</v>
      </c>
      <c r="F27" t="s">
        <v>23</v>
      </c>
      <c r="H27" t="str">
        <f>IF(
F27&lt;&gt;"outgoing",
"",
TEXT(
_xlfn.XLOOKUP(A27,Time!A:A,Time!C:C)+
(
TIMEVALUE(LEFT(G27,8))+(MID(G27,10,3)/86400000)
-
(
TIMEVALUE(LEFT(_xlfn.XLOOKUP(A27,Time!A:A,Time!B:B),8))+
(MID(_xlfn.XLOOKUP(A27,Time!A:A,Time!B:B),10,3)/86400000)
)
),
"hh:mm:ss"
)
)</f>
        <v/>
      </c>
      <c r="I27" s="1">
        <v>0.71250000000000002</v>
      </c>
      <c r="J27" t="s">
        <v>29</v>
      </c>
      <c r="K27" t="s">
        <v>19</v>
      </c>
      <c r="L27" t="s">
        <v>75</v>
      </c>
    </row>
    <row r="28" spans="1:12" x14ac:dyDescent="0.2">
      <c r="A28" t="s">
        <v>71</v>
      </c>
      <c r="B28" t="s">
        <v>13</v>
      </c>
      <c r="C28">
        <v>27</v>
      </c>
      <c r="D28" t="s">
        <v>14</v>
      </c>
      <c r="E28" t="s">
        <v>26</v>
      </c>
      <c r="F28" t="s">
        <v>16</v>
      </c>
      <c r="G28" t="s">
        <v>76</v>
      </c>
      <c r="H28" t="str">
        <f>IF(
F28&lt;&gt;"outgoing",
"",
TEXT(
_xlfn.XLOOKUP(A28,Time!A:A,Time!C:C)+
(
TIMEVALUE(LEFT(G28,8))+(MID(G28,10,3)/86400000)
-
(
TIMEVALUE(LEFT(_xlfn.XLOOKUP(A28,Time!A:A,Time!B:B),8))+
(MID(_xlfn.XLOOKUP(A28,Time!A:A,Time!B:B),10,3)/86400000)
)
),
"hh:mm:ss"
)
)</f>
        <v>17:10:00</v>
      </c>
      <c r="J28" t="s">
        <v>29</v>
      </c>
      <c r="K28" t="s">
        <v>19</v>
      </c>
      <c r="L28" t="s">
        <v>77</v>
      </c>
    </row>
    <row r="29" spans="1:12" x14ac:dyDescent="0.2">
      <c r="A29" t="s">
        <v>78</v>
      </c>
      <c r="B29" t="s">
        <v>13</v>
      </c>
      <c r="C29">
        <v>28</v>
      </c>
      <c r="D29" t="s">
        <v>26</v>
      </c>
      <c r="E29" t="s">
        <v>14</v>
      </c>
      <c r="F29" t="s">
        <v>23</v>
      </c>
      <c r="H29" t="str">
        <f>IF(
F29&lt;&gt;"outgoing",
"",
TEXT(
_xlfn.XLOOKUP(A29,Time!A:A,Time!C:C)+
(
TIMEVALUE(LEFT(G29,8))+(MID(G29,10,3)/86400000)
-
(
TIMEVALUE(LEFT(_xlfn.XLOOKUP(A29,Time!A:A,Time!B:B),8))+
(MID(_xlfn.XLOOKUP(A29,Time!A:A,Time!B:B),10,3)/86400000)
)
),
"hh:mm:ss"
)
)</f>
        <v/>
      </c>
      <c r="I29" s="1">
        <v>0.71597222222222223</v>
      </c>
      <c r="J29" t="s">
        <v>18</v>
      </c>
      <c r="K29" t="s">
        <v>19</v>
      </c>
      <c r="L29" t="s">
        <v>79</v>
      </c>
    </row>
    <row r="30" spans="1:12" x14ac:dyDescent="0.2">
      <c r="A30" t="s">
        <v>78</v>
      </c>
      <c r="B30" t="s">
        <v>13</v>
      </c>
      <c r="C30">
        <v>29</v>
      </c>
      <c r="D30" t="s">
        <v>14</v>
      </c>
      <c r="E30" t="s">
        <v>26</v>
      </c>
      <c r="F30" t="s">
        <v>16</v>
      </c>
      <c r="G30" t="s">
        <v>80</v>
      </c>
      <c r="H30" t="str">
        <f>IF(
F30&lt;&gt;"outgoing",
"",
TEXT(
_xlfn.XLOOKUP(A30,Time!A:A,Time!C:C)+
(
TIMEVALUE(LEFT(G30,8))+(MID(G30,10,3)/86400000)
-
(
TIMEVALUE(LEFT(_xlfn.XLOOKUP(A30,Time!A:A,Time!B:B),8))+
(MID(_xlfn.XLOOKUP(A30,Time!A:A,Time!B:B),10,3)/86400000)
)
),
"hh:mm:ss"
)
)</f>
        <v>17:12:47</v>
      </c>
      <c r="J30" t="s">
        <v>29</v>
      </c>
      <c r="K30" t="s">
        <v>19</v>
      </c>
      <c r="L30" t="s">
        <v>81</v>
      </c>
    </row>
    <row r="31" spans="1:12" x14ac:dyDescent="0.2">
      <c r="A31" t="s">
        <v>78</v>
      </c>
      <c r="B31" t="s">
        <v>13</v>
      </c>
      <c r="C31">
        <v>30</v>
      </c>
      <c r="D31" t="s">
        <v>14</v>
      </c>
      <c r="E31" t="s">
        <v>26</v>
      </c>
      <c r="F31" t="s">
        <v>16</v>
      </c>
      <c r="G31" t="s">
        <v>82</v>
      </c>
      <c r="H31" t="str">
        <f>IF(
F31&lt;&gt;"outgoing",
"",
TEXT(
_xlfn.XLOOKUP(A31,Time!A:A,Time!C:C)+
(
TIMEVALUE(LEFT(G31,8))+(MID(G31,10,3)/86400000)
-
(
TIMEVALUE(LEFT(_xlfn.XLOOKUP(A31,Time!A:A,Time!B:B),8))+
(MID(_xlfn.XLOOKUP(A31,Time!A:A,Time!B:B),10,3)/86400000)
)
),
"hh:mm:ss"
)
)</f>
        <v>17:12:58</v>
      </c>
      <c r="J31" t="s">
        <v>27</v>
      </c>
      <c r="K31" t="s">
        <v>19</v>
      </c>
      <c r="L31" t="s">
        <v>83</v>
      </c>
    </row>
    <row r="32" spans="1:12" x14ac:dyDescent="0.2">
      <c r="A32" t="s">
        <v>78</v>
      </c>
      <c r="B32" t="s">
        <v>13</v>
      </c>
      <c r="C32">
        <v>31</v>
      </c>
      <c r="D32" t="s">
        <v>26</v>
      </c>
      <c r="E32" t="s">
        <v>14</v>
      </c>
      <c r="F32" t="s">
        <v>23</v>
      </c>
      <c r="H32" t="str">
        <f>IF(
F32&lt;&gt;"outgoing",
"",
TEXT(
_xlfn.XLOOKUP(A32,Time!A:A,Time!C:C)+
(
TIMEVALUE(LEFT(G32,8))+(MID(G32,10,3)/86400000)
-
(
TIMEVALUE(LEFT(_xlfn.XLOOKUP(A32,Time!A:A,Time!B:B),8))+
(MID(_xlfn.XLOOKUP(A32,Time!A:A,Time!B:B),10,3)/86400000)
)
),
"hh:mm:ss"
)
)</f>
        <v/>
      </c>
      <c r="I32" s="1">
        <v>0.71736111111111112</v>
      </c>
      <c r="J32" t="s">
        <v>27</v>
      </c>
      <c r="K32" t="s">
        <v>19</v>
      </c>
      <c r="L32" t="s">
        <v>84</v>
      </c>
    </row>
    <row r="33" spans="1:12" x14ac:dyDescent="0.2">
      <c r="A33" t="s">
        <v>85</v>
      </c>
      <c r="B33" t="s">
        <v>13</v>
      </c>
      <c r="C33">
        <v>32</v>
      </c>
      <c r="D33" t="s">
        <v>48</v>
      </c>
      <c r="E33" t="s">
        <v>14</v>
      </c>
      <c r="F33" t="s">
        <v>23</v>
      </c>
      <c r="H33" t="str">
        <f>IF(
F33&lt;&gt;"outgoing",
"",
TEXT(
_xlfn.XLOOKUP(A33,Time!A:A,Time!C:C)+
(
TIMEVALUE(LEFT(G33,8))+(MID(G33,10,3)/86400000)
-
(
TIMEVALUE(LEFT(_xlfn.XLOOKUP(A33,Time!A:A,Time!B:B),8))+
(MID(_xlfn.XLOOKUP(A33,Time!A:A,Time!B:B),10,3)/86400000)
)
),
"hh:mm:ss"
)
)</f>
        <v/>
      </c>
      <c r="I33" s="1">
        <v>0.72152777777777777</v>
      </c>
      <c r="J33" t="s">
        <v>27</v>
      </c>
      <c r="K33" t="s">
        <v>19</v>
      </c>
      <c r="L33" t="s">
        <v>86</v>
      </c>
    </row>
    <row r="34" spans="1:12" x14ac:dyDescent="0.2">
      <c r="A34" t="s">
        <v>85</v>
      </c>
      <c r="B34" t="s">
        <v>13</v>
      </c>
      <c r="C34">
        <v>33</v>
      </c>
      <c r="D34" t="s">
        <v>14</v>
      </c>
      <c r="E34" t="s">
        <v>48</v>
      </c>
      <c r="F34" t="s">
        <v>16</v>
      </c>
      <c r="G34" t="s">
        <v>87</v>
      </c>
      <c r="H34" t="str">
        <f>IF(
F34&lt;&gt;"outgoing",
"",
TEXT(
_xlfn.XLOOKUP(A34,Time!A:A,Time!C:C)+
(
TIMEVALUE(LEFT(G34,8))+(MID(G34,10,3)/86400000)
-
(
TIMEVALUE(LEFT(_xlfn.XLOOKUP(A34,Time!A:A,Time!B:B),8))+
(MID(_xlfn.XLOOKUP(A34,Time!A:A,Time!B:B),10,3)/86400000)
)
),
"hh:mm:ss"
)
)</f>
        <v>17:28:25</v>
      </c>
      <c r="J34" t="s">
        <v>27</v>
      </c>
      <c r="K34" t="s">
        <v>19</v>
      </c>
      <c r="L34" t="s">
        <v>88</v>
      </c>
    </row>
    <row r="35" spans="1:12" x14ac:dyDescent="0.2">
      <c r="A35" t="s">
        <v>89</v>
      </c>
      <c r="B35" t="s">
        <v>13</v>
      </c>
      <c r="C35">
        <v>34</v>
      </c>
      <c r="D35" t="s">
        <v>48</v>
      </c>
      <c r="E35" t="s">
        <v>14</v>
      </c>
      <c r="F35" t="s">
        <v>23</v>
      </c>
      <c r="H35" t="str">
        <f>IF(
F35&lt;&gt;"outgoing",
"",
TEXT(
_xlfn.XLOOKUP(A35,Time!A:A,Time!C:C)+
(
TIMEVALUE(LEFT(G35,8))+(MID(G35,10,3)/86400000)
-
(
TIMEVALUE(LEFT(_xlfn.XLOOKUP(A35,Time!A:A,Time!B:B),8))+
(MID(_xlfn.XLOOKUP(A35,Time!A:A,Time!B:B),10,3)/86400000)
)
),
"hh:mm:ss"
)
)</f>
        <v/>
      </c>
      <c r="I35" s="1">
        <v>0.72777777777777775</v>
      </c>
      <c r="J35" t="s">
        <v>27</v>
      </c>
      <c r="L35" t="s">
        <v>90</v>
      </c>
    </row>
    <row r="36" spans="1:12" x14ac:dyDescent="0.2">
      <c r="A36" t="s">
        <v>89</v>
      </c>
      <c r="B36" t="s">
        <v>13</v>
      </c>
      <c r="C36">
        <v>35</v>
      </c>
      <c r="D36" t="s">
        <v>14</v>
      </c>
      <c r="E36" t="s">
        <v>48</v>
      </c>
      <c r="F36" t="s">
        <v>52</v>
      </c>
      <c r="G36" t="s">
        <v>91</v>
      </c>
      <c r="H36" s="1">
        <v>0.72862268518518514</v>
      </c>
      <c r="J36" t="s">
        <v>38</v>
      </c>
      <c r="K36" t="s">
        <v>39</v>
      </c>
      <c r="L36" t="s">
        <v>92</v>
      </c>
    </row>
    <row r="37" spans="1:12" x14ac:dyDescent="0.2">
      <c r="A37" t="s">
        <v>89</v>
      </c>
      <c r="B37" t="s">
        <v>13</v>
      </c>
      <c r="C37">
        <v>36</v>
      </c>
      <c r="D37" t="s">
        <v>14</v>
      </c>
      <c r="E37" t="s">
        <v>48</v>
      </c>
      <c r="F37" t="s">
        <v>16</v>
      </c>
      <c r="G37" t="s">
        <v>93</v>
      </c>
      <c r="H37" t="str">
        <f>IF(
F37&lt;&gt;"outgoing",
"",
TEXT(
_xlfn.XLOOKUP(A37,Time!A:A,Time!C:C)+
(
TIMEVALUE(LEFT(G37,8))+(MID(G37,10,3)/86400000)
-
(
TIMEVALUE(LEFT(_xlfn.XLOOKUP(A37,Time!A:A,Time!B:B),8))+
(MID(_xlfn.XLOOKUP(A37,Time!A:A,Time!B:B),10,3)/86400000)
)
),
"hh:mm:ss"
)
)</f>
        <v>17:29:19</v>
      </c>
      <c r="J37" t="s">
        <v>45</v>
      </c>
      <c r="K37" t="s">
        <v>39</v>
      </c>
      <c r="L37" t="s">
        <v>92</v>
      </c>
    </row>
    <row r="38" spans="1:12" x14ac:dyDescent="0.2">
      <c r="A38" t="s">
        <v>94</v>
      </c>
      <c r="B38" t="s">
        <v>13</v>
      </c>
      <c r="C38">
        <v>37</v>
      </c>
      <c r="D38" t="s">
        <v>48</v>
      </c>
      <c r="E38" t="s">
        <v>14</v>
      </c>
      <c r="F38" t="s">
        <v>23</v>
      </c>
      <c r="H38" t="str">
        <f>IF(
F38&lt;&gt;"outgoing",
"",
TEXT(
_xlfn.XLOOKUP(A38,Time!A:A,Time!C:C)+
(
TIMEVALUE(LEFT(G38,8))+(MID(G38,10,3)/86400000)
-
(
TIMEVALUE(LEFT(_xlfn.XLOOKUP(A38,Time!A:A,Time!B:B),8))+
(MID(_xlfn.XLOOKUP(A38,Time!A:A,Time!B:B),10,3)/86400000)
)
),
"hh:mm:ss"
)
)</f>
        <v/>
      </c>
      <c r="I38" s="1">
        <v>0.73611111111111116</v>
      </c>
      <c r="J38" t="s">
        <v>29</v>
      </c>
      <c r="K38" t="s">
        <v>19</v>
      </c>
      <c r="L38" t="s">
        <v>95</v>
      </c>
    </row>
    <row r="39" spans="1:12" x14ac:dyDescent="0.2">
      <c r="A39" t="s">
        <v>94</v>
      </c>
      <c r="B39" t="s">
        <v>13</v>
      </c>
      <c r="C39">
        <v>38</v>
      </c>
      <c r="D39" t="s">
        <v>14</v>
      </c>
      <c r="E39" t="s">
        <v>48</v>
      </c>
      <c r="F39" t="s">
        <v>16</v>
      </c>
      <c r="G39" t="s">
        <v>96</v>
      </c>
      <c r="H39" t="str">
        <f>IF(
F39&lt;&gt;"outgoing",
"",
TEXT(
_xlfn.XLOOKUP(A39,Time!A:A,Time!C:C)+
(
TIMEVALUE(LEFT(G39,8))+(MID(G39,10,3)/86400000)
-
(
TIMEVALUE(LEFT(_xlfn.XLOOKUP(A39,Time!A:A,Time!B:B),8))+
(MID(_xlfn.XLOOKUP(A39,Time!A:A,Time!B:B),10,3)/86400000)
)
),
"hh:mm:ss"
)
)</f>
        <v>17:53:03</v>
      </c>
      <c r="J39" t="s">
        <v>29</v>
      </c>
      <c r="K39" t="s">
        <v>19</v>
      </c>
      <c r="L39" t="s">
        <v>97</v>
      </c>
    </row>
    <row r="40" spans="1:12" x14ac:dyDescent="0.2">
      <c r="A40" t="s">
        <v>98</v>
      </c>
      <c r="B40" t="s">
        <v>13</v>
      </c>
      <c r="C40">
        <v>39</v>
      </c>
      <c r="D40" t="s">
        <v>14</v>
      </c>
      <c r="E40" t="s">
        <v>26</v>
      </c>
      <c r="F40" t="s">
        <v>16</v>
      </c>
      <c r="G40" t="s">
        <v>99</v>
      </c>
      <c r="H40" t="str">
        <f>IF(
F40&lt;&gt;"outgoing",
"",
TEXT(
_xlfn.XLOOKUP(A40,Time!A:A,Time!C:C)+
(
TIMEVALUE(LEFT(G40,8))+(MID(G40,10,3)/86400000)
-
(
TIMEVALUE(LEFT(_xlfn.XLOOKUP(A40,Time!A:A,Time!B:B),8))+
(MID(_xlfn.XLOOKUP(A40,Time!A:A,Time!B:B),10,3)/86400000)
)
),
"hh:mm:ss"
)
)</f>
        <v>18:31:09</v>
      </c>
      <c r="J40" t="s">
        <v>18</v>
      </c>
      <c r="K40" t="s">
        <v>19</v>
      </c>
      <c r="L40" t="s">
        <v>100</v>
      </c>
    </row>
    <row r="41" spans="1:12" x14ac:dyDescent="0.2">
      <c r="A41" t="s">
        <v>101</v>
      </c>
      <c r="B41" t="s">
        <v>13</v>
      </c>
      <c r="C41">
        <v>40</v>
      </c>
      <c r="D41" t="s">
        <v>14</v>
      </c>
      <c r="E41" t="s">
        <v>48</v>
      </c>
      <c r="F41" t="s">
        <v>16</v>
      </c>
      <c r="G41" t="s">
        <v>102</v>
      </c>
      <c r="H41" t="str">
        <f>IF(
F41&lt;&gt;"outgoing",
"",
TEXT(
_xlfn.XLOOKUP(A41,Time!A:A,Time!C:C)+
(
TIMEVALUE(LEFT(G41,8))+(MID(G41,10,3)/86400000)
-
(
TIMEVALUE(LEFT(_xlfn.XLOOKUP(A41,Time!A:A,Time!B:B),8))+
(MID(_xlfn.XLOOKUP(A41,Time!A:A,Time!B:B),10,3)/86400000)
)
),
"hh:mm:ss"
)
)</f>
        <v>18:48:13</v>
      </c>
      <c r="J41" t="s">
        <v>27</v>
      </c>
      <c r="K41" t="s">
        <v>19</v>
      </c>
      <c r="L41" t="s">
        <v>103</v>
      </c>
    </row>
    <row r="42" spans="1:12" x14ac:dyDescent="0.2">
      <c r="A42" t="s">
        <v>104</v>
      </c>
      <c r="B42" t="s">
        <v>13</v>
      </c>
      <c r="C42">
        <v>41</v>
      </c>
      <c r="D42" t="s">
        <v>26</v>
      </c>
      <c r="E42" t="s">
        <v>14</v>
      </c>
      <c r="F42" t="s">
        <v>23</v>
      </c>
      <c r="H42" t="str">
        <f>IF(
F42&lt;&gt;"outgoing",
"",
TEXT(
_xlfn.XLOOKUP(A42,Time!A:A,Time!C:C)+
(
TIMEVALUE(LEFT(G42,8))+(MID(G42,10,3)/86400000)
-
(
TIMEVALUE(LEFT(_xlfn.XLOOKUP(A42,Time!A:A,Time!B:B),8))+
(MID(_xlfn.XLOOKUP(A42,Time!A:A,Time!B:B),10,3)/86400000)
)
),
"hh:mm:ss"
)
)</f>
        <v/>
      </c>
      <c r="I42" s="1">
        <v>0.77361111111111114</v>
      </c>
      <c r="J42" t="s">
        <v>29</v>
      </c>
      <c r="K42" t="s">
        <v>19</v>
      </c>
      <c r="L42" t="s">
        <v>105</v>
      </c>
    </row>
    <row r="43" spans="1:12" x14ac:dyDescent="0.2">
      <c r="A43" t="s">
        <v>104</v>
      </c>
      <c r="B43" t="s">
        <v>13</v>
      </c>
      <c r="C43">
        <v>42</v>
      </c>
      <c r="D43" t="s">
        <v>26</v>
      </c>
      <c r="E43" t="s">
        <v>14</v>
      </c>
      <c r="F43" t="s">
        <v>23</v>
      </c>
      <c r="H43" t="str">
        <f>IF(
F43&lt;&gt;"outgoing",
"",
TEXT(
_xlfn.XLOOKUP(A43,Time!A:A,Time!C:C)+
(
TIMEVALUE(LEFT(G43,8))+(MID(G43,10,3)/86400000)
-
(
TIMEVALUE(LEFT(_xlfn.XLOOKUP(A43,Time!A:A,Time!B:B),8))+
(MID(_xlfn.XLOOKUP(A43,Time!A:A,Time!B:B),10,3)/86400000)
)
),
"hh:mm:ss"
)
)</f>
        <v/>
      </c>
      <c r="I43" s="1">
        <v>0.77361111111111114</v>
      </c>
      <c r="J43" t="s">
        <v>64</v>
      </c>
      <c r="K43" t="s">
        <v>39</v>
      </c>
      <c r="L43" t="s">
        <v>74</v>
      </c>
    </row>
    <row r="44" spans="1:12" x14ac:dyDescent="0.2">
      <c r="A44" t="s">
        <v>104</v>
      </c>
      <c r="B44" t="s">
        <v>13</v>
      </c>
      <c r="C44">
        <v>43</v>
      </c>
      <c r="D44" t="s">
        <v>48</v>
      </c>
      <c r="E44" t="s">
        <v>14</v>
      </c>
      <c r="F44" t="s">
        <v>23</v>
      </c>
      <c r="H44" t="str">
        <f>IF(
F44&lt;&gt;"outgoing",
"",
TEXT(
_xlfn.XLOOKUP(A44,Time!A:A,Time!C:C)+
(
TIMEVALUE(LEFT(G44,8))+(MID(G44,10,3)/86400000)
-
(
TIMEVALUE(LEFT(_xlfn.XLOOKUP(A44,Time!A:A,Time!B:B),8))+
(MID(_xlfn.XLOOKUP(A44,Time!A:A,Time!B:B),10,3)/86400000)
)
),
"hh:mm:ss"
)
)</f>
        <v/>
      </c>
      <c r="I44" s="1">
        <v>0.81111111111111112</v>
      </c>
      <c r="J44" t="s">
        <v>29</v>
      </c>
      <c r="K44" t="s">
        <v>19</v>
      </c>
      <c r="L44" t="s">
        <v>106</v>
      </c>
    </row>
    <row r="45" spans="1:12" x14ac:dyDescent="0.2">
      <c r="A45" t="s">
        <v>107</v>
      </c>
      <c r="B45" t="s">
        <v>13</v>
      </c>
      <c r="C45">
        <v>44</v>
      </c>
      <c r="D45" t="s">
        <v>14</v>
      </c>
      <c r="E45" t="s">
        <v>48</v>
      </c>
      <c r="F45" t="s">
        <v>16</v>
      </c>
      <c r="G45" t="s">
        <v>108</v>
      </c>
      <c r="H45" t="str">
        <f>IF(
F45&lt;&gt;"outgoing",
"",
TEXT(
_xlfn.XLOOKUP(A45,Time!A:A,Time!C:C)+
(
TIMEVALUE(LEFT(G45,8))+(MID(G45,10,3)/86400000)
-
(
TIMEVALUE(LEFT(_xlfn.XLOOKUP(A45,Time!A:A,Time!B:B),8))+
(MID(_xlfn.XLOOKUP(A45,Time!A:A,Time!B:B),10,3)/86400000)
)
),
"hh:mm:ss"
)
)</f>
        <v>19:36:43</v>
      </c>
      <c r="J45" t="s">
        <v>29</v>
      </c>
      <c r="K45" t="s">
        <v>19</v>
      </c>
      <c r="L45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ColWidth="8.83203125" defaultRowHeight="15" x14ac:dyDescent="0.2"/>
  <cols>
    <col min="1" max="4" width="22" customWidth="1"/>
  </cols>
  <sheetData>
    <row r="1" spans="1:6" x14ac:dyDescent="0.2">
      <c r="A1" s="2" t="s">
        <v>0</v>
      </c>
      <c r="B1" s="2" t="s">
        <v>110</v>
      </c>
      <c r="C1" s="2" t="s">
        <v>111</v>
      </c>
      <c r="D1" s="2" t="s">
        <v>112</v>
      </c>
      <c r="E1" s="2"/>
      <c r="F1" s="2"/>
    </row>
    <row r="2" spans="1:6" x14ac:dyDescent="0.2">
      <c r="A2" t="s">
        <v>12</v>
      </c>
      <c r="B2" t="s">
        <v>113</v>
      </c>
      <c r="C2" s="1">
        <v>0.41736111111111113</v>
      </c>
      <c r="D2" s="3">
        <v>45260</v>
      </c>
    </row>
    <row r="3" spans="1:6" x14ac:dyDescent="0.2">
      <c r="A3" t="s">
        <v>21</v>
      </c>
      <c r="B3" t="s">
        <v>114</v>
      </c>
      <c r="C3" s="1">
        <v>0.42708333333333331</v>
      </c>
      <c r="D3" s="3">
        <v>45260</v>
      </c>
    </row>
    <row r="4" spans="1:6" x14ac:dyDescent="0.2">
      <c r="A4" t="s">
        <v>33</v>
      </c>
      <c r="B4" t="s">
        <v>115</v>
      </c>
      <c r="C4" s="1">
        <v>0.43611111111111112</v>
      </c>
      <c r="D4" s="3">
        <v>45260</v>
      </c>
    </row>
    <row r="5" spans="1:6" x14ac:dyDescent="0.2">
      <c r="A5" t="s">
        <v>41</v>
      </c>
      <c r="B5" t="s">
        <v>116</v>
      </c>
      <c r="C5" s="1">
        <v>0.57916666666666672</v>
      </c>
      <c r="D5" s="3">
        <v>45260</v>
      </c>
    </row>
    <row r="6" spans="1:6" x14ac:dyDescent="0.2">
      <c r="A6" t="s">
        <v>47</v>
      </c>
      <c r="B6" t="s">
        <v>117</v>
      </c>
      <c r="C6" s="1">
        <v>0.70972222222222225</v>
      </c>
      <c r="D6" s="3">
        <v>45260</v>
      </c>
    </row>
    <row r="7" spans="1:6" x14ac:dyDescent="0.2">
      <c r="A7" t="s">
        <v>71</v>
      </c>
      <c r="B7" t="s">
        <v>118</v>
      </c>
      <c r="C7" s="1">
        <v>0.71527777777777779</v>
      </c>
      <c r="D7" s="3">
        <v>45260</v>
      </c>
    </row>
    <row r="8" spans="1:6" x14ac:dyDescent="0.2">
      <c r="A8" t="s">
        <v>78</v>
      </c>
      <c r="B8" t="s">
        <v>119</v>
      </c>
      <c r="C8" s="1">
        <v>0.71736111111111112</v>
      </c>
      <c r="D8" s="3">
        <v>45260</v>
      </c>
    </row>
    <row r="9" spans="1:6" x14ac:dyDescent="0.2">
      <c r="A9" t="s">
        <v>85</v>
      </c>
      <c r="B9" t="s">
        <v>120</v>
      </c>
      <c r="C9" s="1">
        <v>0.72777777777777775</v>
      </c>
      <c r="D9" s="3">
        <v>45260</v>
      </c>
    </row>
    <row r="10" spans="1:6" x14ac:dyDescent="0.2">
      <c r="A10" t="s">
        <v>89</v>
      </c>
      <c r="B10" t="s">
        <v>120</v>
      </c>
      <c r="C10" s="1">
        <v>0.72847222222222219</v>
      </c>
      <c r="D10" s="3">
        <v>45260</v>
      </c>
    </row>
    <row r="11" spans="1:6" x14ac:dyDescent="0.2">
      <c r="A11" t="s">
        <v>94</v>
      </c>
      <c r="B11" t="s">
        <v>120</v>
      </c>
      <c r="C11" s="1">
        <v>0.74444444444444446</v>
      </c>
      <c r="D11" s="3">
        <v>45260</v>
      </c>
    </row>
    <row r="12" spans="1:6" x14ac:dyDescent="0.2">
      <c r="A12" t="s">
        <v>98</v>
      </c>
      <c r="B12" t="s">
        <v>120</v>
      </c>
      <c r="C12" s="1">
        <v>0.77152777777777781</v>
      </c>
      <c r="D12" s="3">
        <v>45260</v>
      </c>
    </row>
    <row r="13" spans="1:6" x14ac:dyDescent="0.2">
      <c r="A13" t="s">
        <v>101</v>
      </c>
      <c r="B13" t="s">
        <v>120</v>
      </c>
      <c r="C13" s="1">
        <v>0.78333333333333333</v>
      </c>
      <c r="D13" s="3">
        <v>45260</v>
      </c>
    </row>
    <row r="14" spans="1:6" x14ac:dyDescent="0.2">
      <c r="A14" t="s">
        <v>107</v>
      </c>
      <c r="B14" t="s">
        <v>121</v>
      </c>
      <c r="C14" s="1">
        <v>0.81666666666666665</v>
      </c>
      <c r="D14" s="3">
        <v>45260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Messages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 Lallo</cp:lastModifiedBy>
  <dcterms:created xsi:type="dcterms:W3CDTF">2026-06-28T20:45:14Z</dcterms:created>
  <dcterms:modified xsi:type="dcterms:W3CDTF">2026-06-28T21:05:00Z</dcterms:modified>
</cp:coreProperties>
</file>