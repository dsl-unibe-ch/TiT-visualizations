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as/Documents/01_Uni/Doktorat/Dissertation/Datenanalyse/analysis_tables/01_Databank_tables/"/>
    </mc:Choice>
  </mc:AlternateContent>
  <xr:revisionPtr revIDLastSave="0" documentId="13_ncr:1_{8BE3ED8E-D5DB-3C47-9875-BC09FA4A9C6B}" xr6:coauthVersionLast="47" xr6:coauthVersionMax="47" xr10:uidLastSave="{00000000-0000-0000-0000-000000000000}"/>
  <bookViews>
    <workbookView xWindow="0" yWindow="500" windowWidth="68800" windowHeight="27060" activeTab="1"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1" l="1"/>
  <c r="H67" i="1"/>
  <c r="H64" i="1"/>
  <c r="H62" i="1"/>
  <c r="H61" i="1"/>
  <c r="H60" i="1"/>
  <c r="H59" i="1"/>
  <c r="H58" i="1"/>
  <c r="H57" i="1"/>
  <c r="H56" i="1"/>
  <c r="H55" i="1"/>
  <c r="H54" i="1"/>
  <c r="H53" i="1"/>
  <c r="H51" i="1"/>
  <c r="H50" i="1"/>
  <c r="H48" i="1"/>
  <c r="H47" i="1"/>
  <c r="H46" i="1"/>
  <c r="H45" i="1"/>
  <c r="H44" i="1"/>
  <c r="H43" i="1"/>
  <c r="H42" i="1"/>
  <c r="H41" i="1"/>
  <c r="H40" i="1"/>
  <c r="H39" i="1"/>
  <c r="H38" i="1"/>
  <c r="H37" i="1"/>
  <c r="H36" i="1"/>
  <c r="H35" i="1"/>
  <c r="H34" i="1"/>
  <c r="H33" i="1"/>
  <c r="H32" i="1"/>
  <c r="H31" i="1"/>
  <c r="H30" i="1"/>
  <c r="H27" i="1"/>
  <c r="H26" i="1"/>
  <c r="H25" i="1"/>
  <c r="H24" i="1"/>
  <c r="H23" i="1"/>
  <c r="H22" i="1"/>
  <c r="H20" i="1"/>
  <c r="H19" i="1"/>
  <c r="H18" i="1"/>
  <c r="H17" i="1"/>
  <c r="H16" i="1"/>
  <c r="H15" i="1"/>
  <c r="H14" i="1"/>
  <c r="H13" i="1"/>
  <c r="H10" i="1"/>
  <c r="H9" i="1"/>
  <c r="H8" i="1"/>
  <c r="H6" i="1"/>
  <c r="H5" i="1"/>
  <c r="H4" i="1"/>
  <c r="H3" i="1"/>
  <c r="H2" i="1"/>
</calcChain>
</file>

<file path=xl/sharedStrings.xml><?xml version="1.0" encoding="utf-8"?>
<sst xmlns="http://schemas.openxmlformats.org/spreadsheetml/2006/main" count="603" uniqueCount="152">
  <si>
    <t>recording_id</t>
  </si>
  <si>
    <t>platform</t>
  </si>
  <si>
    <t>message_id</t>
  </si>
  <si>
    <t>author</t>
  </si>
  <si>
    <t>recipient</t>
  </si>
  <si>
    <t>direction</t>
  </si>
  <si>
    <t>t_mmss</t>
  </si>
  <si>
    <t>t_sent</t>
  </si>
  <si>
    <t>t_received</t>
  </si>
  <si>
    <t>message_type</t>
  </si>
  <si>
    <t>language</t>
  </si>
  <si>
    <t>text</t>
  </si>
  <si>
    <t>004FELI-03-001</t>
  </si>
  <si>
    <t>WhatsApp</t>
  </si>
  <si>
    <t>André Taber</t>
  </si>
  <si>
    <t>Felicitas Albrecht</t>
  </si>
  <si>
    <t>incoming</t>
  </si>
  <si>
    <t>Link</t>
  </si>
  <si>
    <t>Multimodal</t>
  </si>
  <si>
    <t>https://www.xxxx.xx/1234/56/schlechte-verlierer-sport-xxxxxxxxxx-fair-play</t>
  </si>
  <si>
    <t>Text</t>
  </si>
  <si>
    <t>DE</t>
  </si>
  <si>
    <t>Witzig. Die Kommentare sind (übertrieben) hart. Gibt dem Text eine witzige Subnote</t>
  </si>
  <si>
    <t>Tina Albrecht</t>
  </si>
  <si>
    <t>Kiregen wir sicher alles hin</t>
  </si>
  <si>
    <t>outgoing</t>
  </si>
  <si>
    <t>00:00:11.723</t>
  </si>
  <si>
    <t>Okidoki</t>
  </si>
  <si>
    <t>004FELI-03-002</t>
  </si>
  <si>
    <t>Gruppe: Albrecht</t>
  </si>
  <si>
    <t>00:00:30.491</t>
  </si>
  <si>
    <t xml:space="preserve">Hey, könntet ihr mich bitte kurz in eure Planungen mit einbeziehen? </t>
  </si>
  <si>
    <t>004FELI-03-003</t>
  </si>
  <si>
    <t>Bin jetzt noch auf der Post</t>
  </si>
  <si>
    <t>00:00:17.810</t>
  </si>
  <si>
    <t>Wann wird es bei euch?</t>
  </si>
  <si>
    <t>004FELI-03-004</t>
  </si>
  <si>
    <t>abholen? Sind gleich da</t>
  </si>
  <si>
    <t>Oder noch besser: Schnuffiübergabe dort</t>
  </si>
  <si>
    <t>Ja supi bis gleich</t>
  </si>
  <si>
    <t>Paar Minuten</t>
  </si>
  <si>
    <t>Emoji</t>
  </si>
  <si>
    <t>👍</t>
  </si>
  <si>
    <t>004FELI-03-005</t>
  </si>
  <si>
    <t>Sind da</t>
  </si>
  <si>
    <t>Papa steht vor der Post</t>
  </si>
  <si>
    <t>Bin heute leider krank ):</t>
  </si>
  <si>
    <t>Du bist sicher nicht vor 18 Uhr raus?</t>
  </si>
  <si>
    <t>00:01:07.399</t>
  </si>
  <si>
    <t>Text; Emoticon</t>
  </si>
  <si>
    <t>Oh je :(</t>
  </si>
  <si>
    <t>00:01:07.411</t>
  </si>
  <si>
    <t>Ich hab den Hund und bin deshalb schon zu Hause. Je nach deinem Befinden könnte ich also für Spaziergang/Kaffee trotzdem rum kommen</t>
  </si>
  <si>
    <t>004FELI-03-006</t>
  </si>
  <si>
    <t>00:00:30.741</t>
  </si>
  <si>
    <t>Könnt euch ein bisschen mehr Zeit lassen, André und ich haben uns vertagt :)</t>
  </si>
  <si>
    <t>004FELI-03-007</t>
  </si>
  <si>
    <t>Instagram</t>
  </si>
  <si>
    <t>Bild</t>
  </si>
  <si>
    <t>Oh, da müssen wir unbedingt hin!!</t>
  </si>
  <si>
    <t>00:00:07.915</t>
  </si>
  <si>
    <t>💯</t>
  </si>
  <si>
    <t>Danke, aber Parkzeit endet 17.20 und wir sind schon zur Hälfte durch</t>
  </si>
  <si>
    <t>00:00:17.094</t>
  </si>
  <si>
    <t>Okayyyyy</t>
  </si>
  <si>
    <t>004FELI-03-008</t>
  </si>
  <si>
    <t>Jetzt?</t>
  </si>
  <si>
    <t>Oder so in ner halben?</t>
  </si>
  <si>
    <t>Text; Emoji</t>
  </si>
  <si>
    <t xml:space="preserve">Spotify Jahresrückblich ist da⚡️ </t>
  </si>
  <si>
    <t>😘</t>
  </si>
  <si>
    <t>00:00:31.406</t>
  </si>
  <si>
    <t>könnte ab jetzt, sonst morgen und Freitag flexibel (abends) :)</t>
  </si>
  <si>
    <t>004FELI-03-010</t>
  </si>
  <si>
    <t>Schon gesehen. NAME hatte eine persönliche danke Nachricht von tailor swift  Fand ich süß</t>
  </si>
  <si>
    <t>Bleibe zu Hause. Gehe morgen sicher zum Arzt</t>
  </si>
  <si>
    <t>00:00:39.650</t>
  </si>
  <si>
    <t>Reaktion</t>
  </si>
  <si>
    <t>😐</t>
  </si>
  <si>
    <t>00:00:58.983</t>
  </si>
  <si>
    <t>😷</t>
  </si>
  <si>
    <t>00:01:24.325</t>
  </si>
  <si>
    <t>Johann Sebastian Bach hat mir nix geschrieben 🥺</t>
  </si>
  <si>
    <t>004FELI-03-011</t>
  </si>
  <si>
    <t>🎹</t>
  </si>
  <si>
    <t>004FELI-03-013</t>
  </si>
  <si>
    <t>00:00:22.842</t>
  </si>
  <si>
    <t>Bild; Emoji</t>
  </si>
  <si>
    <t>😭</t>
  </si>
  <si>
    <t>004FELI-03-014</t>
  </si>
  <si>
    <t>Ja und?</t>
  </si>
  <si>
    <t>Wie busy bist du am Freitag? Könntest du einen AK entgegen nehmen?</t>
  </si>
  <si>
    <t>00:00:12.145</t>
  </si>
  <si>
    <t xml:space="preserve">Ne man war ein Scherz </t>
  </si>
  <si>
    <t>00:00:24.350</t>
  </si>
  <si>
    <t xml:space="preserve">Ich habe mir selber diesen Kalender gekauft damit ich am Freitag was hab </t>
  </si>
  <si>
    <t>00:00:46.670</t>
  </si>
  <si>
    <t>Sonntag reicht easy, kein Stress. Ist doch Mega lieb dass ich überhaupt einen kriege ❤️</t>
  </si>
  <si>
    <t>😏, okay</t>
  </si>
  <si>
    <t>004FELI-03-015</t>
  </si>
  <si>
    <t>Also doch nicht nur an diesem WE</t>
  </si>
  <si>
    <t>00:00:17.884</t>
  </si>
  <si>
    <t>Uff!!!!</t>
  </si>
  <si>
    <t>EN</t>
  </si>
  <si>
    <t>Gruppe: Boyband Fans</t>
  </si>
  <si>
    <t>Schon cool</t>
  </si>
  <si>
    <t>Jael Taber</t>
  </si>
  <si>
    <t>Ist das eine Kinderyogamatte?</t>
  </si>
  <si>
    <t>Wow gute Downward table Twists</t>
  </si>
  <si>
    <t>Ja. Hatte ich mal mit bestellt</t>
  </si>
  <si>
    <t>Wirklich sehr süß</t>
  </si>
  <si>
    <t>NameX NameXXX regt sich im Seminar gerade darüber auf dass McDonalds chicken cheese nuggets nur im Sommer hat :(</t>
  </si>
  <si>
    <t>00:02:34.846</t>
  </si>
  <si>
    <t>One left hand in the right place</t>
  </si>
  <si>
    <t>004FELI-03-017</t>
  </si>
  <si>
    <t>Hast du es bei Instagram oder Spotify gesehen (:?</t>
  </si>
  <si>
    <t>00:00:19.910</t>
  </si>
  <si>
    <t>Tatsächlich Spotify. Auf IG hält es sich bisher bei mir in Grenzen. Dein Feed ist all over Spotify :D?</t>
  </si>
  <si>
    <t>004FELI-03-018</t>
  </si>
  <si>
    <t>Ja. Daran merke ich auch immer wenn Strava kommt</t>
  </si>
  <si>
    <t>Hättest du es NameX zugetraut ?</t>
  </si>
  <si>
    <t>Also zum Gossip Thema</t>
  </si>
  <si>
    <t>00:00:26.493</t>
  </si>
  <si>
    <t>🤪</t>
  </si>
  <si>
    <t>00:01:17.896</t>
  </si>
  <si>
    <t>Ja irgendwie schon. Also tatsächlich habe ich NAME  in der engeren Auswahl meiner Tipps gehabt, als mir angekündigt wurde dass es gossip gibt. Nur die Konstellation hat mich überrascht :D</t>
  </si>
  <si>
    <t>004FELI-03-019</t>
  </si>
  <si>
    <t>Mich hat Jael gar nicht so überrascht, fand es nur von NAME Strange. Weil ich dachte er sei integer, bei all den Frauen die ihn umgeben.</t>
  </si>
  <si>
    <t>Und er hat ja immer um Anerkennung und Unterstützung gebettelt und sich bei NAME beschwert, dass sie ihn sportlich nicht unterstützt. Dachte nicht, dass das sein Copingmechanismus ist.</t>
  </si>
  <si>
    <t>not sent</t>
  </si>
  <si>
    <t>Ja ich glaub mich hat es insofern nicht überrascht weil ich, obwohl ich beide nicht wirklich kenne, schon das Gefühl hatte dass bei NAME und NAME die Vibes schlecht sind. Aber</t>
  </si>
  <si>
    <t>00:02:29.796</t>
  </si>
  <si>
    <t>Ich meine ich kenne NAME nicht, aber irgendwie passt es zu dem bild dass ich von ihm über Insta bekomme, so bisschen sprunghaft, impulsiv, unüberlegt, aber am Ende halt auch ein yolo Тур.</t>
  </si>
  <si>
    <t>004FELI-03-020</t>
  </si>
  <si>
    <t>❤️</t>
  </si>
  <si>
    <t>004FELI-03-021</t>
  </si>
  <si>
    <t>Danke für den Tipp. Top 10 Artikel in den letzten Wochen.</t>
  </si>
  <si>
    <t>Die Kommentare machen ihn noch besser</t>
  </si>
  <si>
    <t>00:00:24.971</t>
  </si>
  <si>
    <t>"Da wäre die Menschheit längst ausgestorben!"</t>
  </si>
  <si>
    <t>anchor_video_time</t>
  </si>
  <si>
    <t>anchor_clock_time</t>
  </si>
  <si>
    <t>recording_date</t>
  </si>
  <si>
    <t>00:00:00.000</t>
  </si>
  <si>
    <t>00:00:33.426</t>
  </si>
  <si>
    <t>00:00:17.121</t>
  </si>
  <si>
    <t>00:00:40.346</t>
  </si>
  <si>
    <t>00:00:25.814</t>
  </si>
  <si>
    <t>00:01:00.532</t>
  </si>
  <si>
    <t>00:00:34.346</t>
  </si>
  <si>
    <t>00:00:30.312</t>
  </si>
  <si>
    <t>00:00:43.278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</si>
</sst>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1" fontId="0" fillId="0" borderId="0" xfId="0" applyNumberFormat="1"/>
    <xf numFmtId="0" fontId="1" fillId="0" borderId="0" xfId="0" applyFont="1"/>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workbookViewId="0">
      <pane ySplit="1" topLeftCell="A2" activePane="bottomLeft" state="frozen"/>
      <selection pane="bottomLeft" sqref="A1:L1"/>
    </sheetView>
  </sheetViews>
  <sheetFormatPr baseColWidth="10" defaultColWidth="8.83203125" defaultRowHeight="15" x14ac:dyDescent="0.2"/>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0.13263888888888889</v>
      </c>
      <c r="J2" t="s">
        <v>17</v>
      </c>
      <c r="K2" t="s">
        <v>18</v>
      </c>
      <c r="L2" t="s">
        <v>19</v>
      </c>
    </row>
    <row r="3" spans="1:12" x14ac:dyDescent="0.2">
      <c r="A3" t="s">
        <v>12</v>
      </c>
      <c r="B3" t="s">
        <v>13</v>
      </c>
      <c r="C3">
        <v>2</v>
      </c>
      <c r="D3" t="s">
        <v>14</v>
      </c>
      <c r="E3" t="s">
        <v>15</v>
      </c>
      <c r="F3" t="s">
        <v>16</v>
      </c>
      <c r="H3" t="str">
        <f>IF(
F3&lt;&gt;"outgoing",
"",
TEXT(
_xlfn.XLOOKUP(A3,Time!A:A,Time!C:C)+
(
TIMEVALUE(LEFT(G3,8))+(MID(G3,10,3)/86400000)
-
(
TIMEVALUE(LEFT(_xlfn.XLOOKUP(A3,Time!A:A,Time!B:B),8))+
(MID(_xlfn.XLOOKUP(A3,Time!A:A,Time!B:B),10,3)/86400000)
)
),
"hh:mm:ss"
)
)</f>
        <v/>
      </c>
      <c r="I3" s="1">
        <v>0.13263888888888889</v>
      </c>
      <c r="J3" t="s">
        <v>20</v>
      </c>
      <c r="K3" t="s">
        <v>21</v>
      </c>
      <c r="L3" t="s">
        <v>22</v>
      </c>
    </row>
    <row r="4" spans="1:12" x14ac:dyDescent="0.2">
      <c r="A4" t="s">
        <v>12</v>
      </c>
      <c r="B4" t="s">
        <v>13</v>
      </c>
      <c r="C4">
        <v>3</v>
      </c>
      <c r="D4" t="s">
        <v>23</v>
      </c>
      <c r="E4" t="s">
        <v>15</v>
      </c>
      <c r="F4" t="s">
        <v>16</v>
      </c>
      <c r="H4" t="str">
        <f>IF(
F4&lt;&gt;"outgoing",
"",
TEXT(
_xlfn.XLOOKUP(A4,Time!A:A,Time!C:C)+
(
TIMEVALUE(LEFT(G4,8))+(MID(G4,10,3)/86400000)
-
(
TIMEVALUE(LEFT(_xlfn.XLOOKUP(A4,Time!A:A,Time!B:B),8))+
(MID(_xlfn.XLOOKUP(A4,Time!A:A,Time!B:B),10,3)/86400000)
)
),
"hh:mm:ss"
)
)</f>
        <v/>
      </c>
      <c r="I4" s="1">
        <v>0.2986111111111111</v>
      </c>
      <c r="J4" t="s">
        <v>20</v>
      </c>
      <c r="K4" t="s">
        <v>21</v>
      </c>
      <c r="L4" t="s">
        <v>24</v>
      </c>
    </row>
    <row r="5" spans="1:12" x14ac:dyDescent="0.2">
      <c r="A5" t="s">
        <v>12</v>
      </c>
      <c r="B5" t="s">
        <v>13</v>
      </c>
      <c r="C5">
        <v>4</v>
      </c>
      <c r="D5" t="s">
        <v>15</v>
      </c>
      <c r="E5" t="s">
        <v>23</v>
      </c>
      <c r="F5" t="s">
        <v>25</v>
      </c>
      <c r="G5" t="s">
        <v>26</v>
      </c>
      <c r="H5" t="str">
        <f>IF(
F5&lt;&gt;"outgoing",
"",
TEXT(
_xlfn.XLOOKUP(A5,Time!A:A,Time!C:C)+
(
TIMEVALUE(LEFT(G5,8))+(MID(G5,10,3)/86400000)
-
(
TIMEVALUE(LEFT(_xlfn.XLOOKUP(A5,Time!A:A,Time!B:B),8))+
(MID(_xlfn.XLOOKUP(A5,Time!A:A,Time!B:B),10,3)/86400000)
)
),
"hh:mm:ss"
)
)</f>
        <v>07:13:12</v>
      </c>
      <c r="J5" t="s">
        <v>20</v>
      </c>
      <c r="K5" t="s">
        <v>21</v>
      </c>
      <c r="L5" t="s">
        <v>27</v>
      </c>
    </row>
    <row r="6" spans="1:12" x14ac:dyDescent="0.2">
      <c r="A6" t="s">
        <v>28</v>
      </c>
      <c r="B6" t="s">
        <v>13</v>
      </c>
      <c r="C6">
        <v>5</v>
      </c>
      <c r="D6" t="s">
        <v>15</v>
      </c>
      <c r="E6" t="s">
        <v>29</v>
      </c>
      <c r="F6" t="s">
        <v>25</v>
      </c>
      <c r="G6" t="s">
        <v>30</v>
      </c>
      <c r="H6" t="str">
        <f>IF(
F6&lt;&gt;"outgoing",
"",
TEXT(
_xlfn.XLOOKUP(A6,Time!A:A,Time!C:C)+
(
TIMEVALUE(LEFT(G6,8))+(MID(G6,10,3)/86400000)
-
(
TIMEVALUE(LEFT(_xlfn.XLOOKUP(A6,Time!A:A,Time!B:B),8))+
(MID(_xlfn.XLOOKUP(A6,Time!A:A,Time!B:B),10,3)/86400000)
)
),
"hh:mm:ss"
)
)</f>
        <v>14:29:30</v>
      </c>
      <c r="J6" t="s">
        <v>20</v>
      </c>
      <c r="K6" t="s">
        <v>21</v>
      </c>
      <c r="L6" t="s">
        <v>31</v>
      </c>
    </row>
    <row r="7" spans="1:12" x14ac:dyDescent="0.2">
      <c r="A7" t="s">
        <v>32</v>
      </c>
      <c r="B7" t="s">
        <v>13</v>
      </c>
      <c r="C7">
        <v>6</v>
      </c>
      <c r="D7" t="s">
        <v>15</v>
      </c>
      <c r="E7" t="s">
        <v>29</v>
      </c>
      <c r="F7" t="s">
        <v>25</v>
      </c>
      <c r="H7" s="1">
        <v>0.63611111111111107</v>
      </c>
      <c r="J7" t="s">
        <v>20</v>
      </c>
      <c r="K7" t="s">
        <v>21</v>
      </c>
      <c r="L7" t="s">
        <v>33</v>
      </c>
    </row>
    <row r="8" spans="1:12" x14ac:dyDescent="0.2">
      <c r="A8" t="s">
        <v>32</v>
      </c>
      <c r="B8" t="s">
        <v>13</v>
      </c>
      <c r="C8">
        <v>7</v>
      </c>
      <c r="D8" t="s">
        <v>15</v>
      </c>
      <c r="E8" t="s">
        <v>29</v>
      </c>
      <c r="F8" t="s">
        <v>25</v>
      </c>
      <c r="G8" t="s">
        <v>34</v>
      </c>
      <c r="H8" t="str">
        <f>IF(
F8&lt;&gt;"outgoing",
"",
TEXT(
_xlfn.XLOOKUP(A8,Time!A:A,Time!C:C)+
(
TIMEVALUE(LEFT(G8,8))+(MID(G8,10,3)/86400000)
-
(
TIMEVALUE(LEFT(_xlfn.XLOOKUP(A8,Time!A:A,Time!B:B),8))+
(MID(_xlfn.XLOOKUP(A8,Time!A:A,Time!B:B),10,3)/86400000)
)
),
"hh:mm:ss"
)
)</f>
        <v>15:16:18</v>
      </c>
      <c r="J8" t="s">
        <v>20</v>
      </c>
      <c r="K8" t="s">
        <v>21</v>
      </c>
      <c r="L8" t="s">
        <v>35</v>
      </c>
    </row>
    <row r="9" spans="1:12" x14ac:dyDescent="0.2">
      <c r="A9" t="s">
        <v>36</v>
      </c>
      <c r="B9" t="s">
        <v>13</v>
      </c>
      <c r="C9">
        <v>8</v>
      </c>
      <c r="D9" t="s">
        <v>23</v>
      </c>
      <c r="E9" t="s">
        <v>15</v>
      </c>
      <c r="F9" t="s">
        <v>16</v>
      </c>
      <c r="H9" t="str">
        <f>IF(
F9&lt;&gt;"outgoing",
"",
TEXT(
_xlfn.XLOOKUP(A9,Time!A:A,Time!C:C)+
(
TIMEVALUE(LEFT(G9,8))+(MID(G9,10,3)/86400000)
-
(
TIMEVALUE(LEFT(_xlfn.XLOOKUP(A9,Time!A:A,Time!B:B),8))+
(MID(_xlfn.XLOOKUP(A9,Time!A:A,Time!B:B),10,3)/86400000)
)
),
"hh:mm:ss"
)
)</f>
        <v/>
      </c>
      <c r="J9" t="s">
        <v>20</v>
      </c>
      <c r="K9" t="s">
        <v>21</v>
      </c>
      <c r="L9" t="s">
        <v>37</v>
      </c>
    </row>
    <row r="10" spans="1:12" x14ac:dyDescent="0.2">
      <c r="A10" t="s">
        <v>36</v>
      </c>
      <c r="B10" t="s">
        <v>13</v>
      </c>
      <c r="C10">
        <v>9</v>
      </c>
      <c r="D10" t="s">
        <v>23</v>
      </c>
      <c r="E10" t="s">
        <v>15</v>
      </c>
      <c r="F10" t="s">
        <v>16</v>
      </c>
      <c r="H10" t="str">
        <f>IF(
F10&lt;&gt;"outgoing",
"",
TEXT(
_xlfn.XLOOKUP(A10,Time!A:A,Time!C:C)+
(
TIMEVALUE(LEFT(G10,8))+(MID(G10,10,3)/86400000)
-
(
TIMEVALUE(LEFT(_xlfn.XLOOKUP(A10,Time!A:A,Time!B:B),8))+
(MID(_xlfn.XLOOKUP(A10,Time!A:A,Time!B:B),10,3)/86400000)
)
),
"hh:mm:ss"
)
)</f>
        <v/>
      </c>
      <c r="J10" t="s">
        <v>20</v>
      </c>
      <c r="K10" t="s">
        <v>21</v>
      </c>
      <c r="L10" t="s">
        <v>38</v>
      </c>
    </row>
    <row r="11" spans="1:12" x14ac:dyDescent="0.2">
      <c r="A11" t="s">
        <v>36</v>
      </c>
      <c r="B11" t="s">
        <v>13</v>
      </c>
      <c r="C11">
        <v>10</v>
      </c>
      <c r="D11" t="s">
        <v>15</v>
      </c>
      <c r="E11" t="s">
        <v>23</v>
      </c>
      <c r="F11" t="s">
        <v>25</v>
      </c>
      <c r="H11" s="1">
        <v>0.63749999999999996</v>
      </c>
      <c r="J11" t="s">
        <v>20</v>
      </c>
      <c r="K11" t="s">
        <v>21</v>
      </c>
      <c r="L11" t="s">
        <v>39</v>
      </c>
    </row>
    <row r="12" spans="1:12" x14ac:dyDescent="0.2">
      <c r="A12" t="s">
        <v>36</v>
      </c>
      <c r="B12" t="s">
        <v>13</v>
      </c>
      <c r="C12">
        <v>11</v>
      </c>
      <c r="D12" t="s">
        <v>15</v>
      </c>
      <c r="E12" t="s">
        <v>23</v>
      </c>
      <c r="F12" t="s">
        <v>25</v>
      </c>
      <c r="H12" s="1">
        <v>0.63749999999999996</v>
      </c>
      <c r="J12" t="s">
        <v>20</v>
      </c>
      <c r="K12" t="s">
        <v>21</v>
      </c>
      <c r="L12" t="s">
        <v>40</v>
      </c>
    </row>
    <row r="13" spans="1:12" x14ac:dyDescent="0.2">
      <c r="A13" t="s">
        <v>36</v>
      </c>
      <c r="B13" t="s">
        <v>13</v>
      </c>
      <c r="C13">
        <v>12</v>
      </c>
      <c r="D13" t="s">
        <v>23</v>
      </c>
      <c r="E13" t="s">
        <v>15</v>
      </c>
      <c r="F13" t="s">
        <v>16</v>
      </c>
      <c r="H13" t="str">
        <f>IF(
F13&lt;&gt;"outgoing",
"",
TEXT(
_xlfn.XLOOKUP(A13,Time!A:A,Time!C:C)+
(
TIMEVALUE(LEFT(G13,8))+(MID(G13,10,3)/86400000)
-
(
TIMEVALUE(LEFT(_xlfn.XLOOKUP(A13,Time!A:A,Time!B:B),8))+
(MID(_xlfn.XLOOKUP(A13,Time!A:A,Time!B:B),10,3)/86400000)
)
),
"hh:mm:ss"
)
)</f>
        <v/>
      </c>
      <c r="I13" s="1">
        <v>0.6381944444444444</v>
      </c>
      <c r="J13" t="s">
        <v>41</v>
      </c>
      <c r="K13" t="s">
        <v>18</v>
      </c>
      <c r="L13" t="s">
        <v>42</v>
      </c>
    </row>
    <row r="14" spans="1:12" x14ac:dyDescent="0.2">
      <c r="A14" t="s">
        <v>43</v>
      </c>
      <c r="B14" t="s">
        <v>13</v>
      </c>
      <c r="C14">
        <v>13</v>
      </c>
      <c r="D14" t="s">
        <v>23</v>
      </c>
      <c r="E14" t="s">
        <v>15</v>
      </c>
      <c r="F14" t="s">
        <v>16</v>
      </c>
      <c r="H14" t="str">
        <f>IF(
F14&lt;&gt;"outgoing",
"",
TEXT(
_xlfn.XLOOKUP(A14,Time!A:A,Time!C:C)+
(
TIMEVALUE(LEFT(G14,8))+(MID(G14,10,3)/86400000)
-
(
TIMEVALUE(LEFT(_xlfn.XLOOKUP(A14,Time!A:A,Time!B:B),8))+
(MID(_xlfn.XLOOKUP(A14,Time!A:A,Time!B:B),10,3)/86400000)
)
),
"hh:mm:ss"
)
)</f>
        <v/>
      </c>
      <c r="I14" s="1">
        <v>0.63958333333333328</v>
      </c>
      <c r="J14" t="s">
        <v>20</v>
      </c>
      <c r="K14" t="s">
        <v>21</v>
      </c>
      <c r="L14" t="s">
        <v>44</v>
      </c>
    </row>
    <row r="15" spans="1:12" x14ac:dyDescent="0.2">
      <c r="A15" t="s">
        <v>43</v>
      </c>
      <c r="B15" t="s">
        <v>13</v>
      </c>
      <c r="C15">
        <v>14</v>
      </c>
      <c r="D15" t="s">
        <v>23</v>
      </c>
      <c r="E15" t="s">
        <v>15</v>
      </c>
      <c r="F15" t="s">
        <v>16</v>
      </c>
      <c r="H15" t="str">
        <f>IF(
F15&lt;&gt;"outgoing",
"",
TEXT(
_xlfn.XLOOKUP(A15,Time!A:A,Time!C:C)+
(
TIMEVALUE(LEFT(G15,8))+(MID(G15,10,3)/86400000)
-
(
TIMEVALUE(LEFT(_xlfn.XLOOKUP(A15,Time!A:A,Time!B:B),8))+
(MID(_xlfn.XLOOKUP(A15,Time!A:A,Time!B:B),10,3)/86400000)
)
),
"hh:mm:ss"
)
)</f>
        <v/>
      </c>
      <c r="I15" s="1">
        <v>0.6430555555555556</v>
      </c>
      <c r="J15" t="s">
        <v>20</v>
      </c>
      <c r="K15" t="s">
        <v>21</v>
      </c>
      <c r="L15" t="s">
        <v>45</v>
      </c>
    </row>
    <row r="16" spans="1:12" x14ac:dyDescent="0.2">
      <c r="A16" t="s">
        <v>43</v>
      </c>
      <c r="B16" t="s">
        <v>13</v>
      </c>
      <c r="C16">
        <v>15</v>
      </c>
      <c r="D16" t="s">
        <v>14</v>
      </c>
      <c r="E16" t="s">
        <v>15</v>
      </c>
      <c r="F16" t="s">
        <v>16</v>
      </c>
      <c r="H16" t="str">
        <f>IF(
F16&lt;&gt;"outgoing",
"",
TEXT(
_xlfn.XLOOKUP(A16,Time!A:A,Time!C:C)+
(
TIMEVALUE(LEFT(G16,8))+(MID(G16,10,3)/86400000)
-
(
TIMEVALUE(LEFT(_xlfn.XLOOKUP(A16,Time!A:A,Time!B:B),8))+
(MID(_xlfn.XLOOKUP(A16,Time!A:A,Time!B:B),10,3)/86400000)
)
),
"hh:mm:ss"
)
)</f>
        <v/>
      </c>
      <c r="I16" s="1">
        <v>0.67013888888888884</v>
      </c>
      <c r="J16" t="s">
        <v>20</v>
      </c>
      <c r="K16" t="s">
        <v>21</v>
      </c>
      <c r="L16" t="s">
        <v>46</v>
      </c>
    </row>
    <row r="17" spans="1:12" x14ac:dyDescent="0.2">
      <c r="A17" t="s">
        <v>43</v>
      </c>
      <c r="B17" t="s">
        <v>13</v>
      </c>
      <c r="C17">
        <v>16</v>
      </c>
      <c r="D17" t="s">
        <v>14</v>
      </c>
      <c r="E17" t="s">
        <v>15</v>
      </c>
      <c r="F17" t="s">
        <v>16</v>
      </c>
      <c r="H17" t="str">
        <f>IF(
F17&lt;&gt;"outgoing",
"",
TEXT(
_xlfn.XLOOKUP(A17,Time!A:A,Time!C:C)+
(
TIMEVALUE(LEFT(G17,8))+(MID(G17,10,3)/86400000)
-
(
TIMEVALUE(LEFT(_xlfn.XLOOKUP(A17,Time!A:A,Time!B:B),8))+
(MID(_xlfn.XLOOKUP(A17,Time!A:A,Time!B:B),10,3)/86400000)
)
),
"hh:mm:ss"
)
)</f>
        <v/>
      </c>
      <c r="I17" s="1">
        <v>0.67083333333333328</v>
      </c>
      <c r="J17" t="s">
        <v>20</v>
      </c>
      <c r="K17" t="s">
        <v>21</v>
      </c>
      <c r="L17" t="s">
        <v>47</v>
      </c>
    </row>
    <row r="18" spans="1:12" x14ac:dyDescent="0.2">
      <c r="A18" t="s">
        <v>43</v>
      </c>
      <c r="B18" t="s">
        <v>13</v>
      </c>
      <c r="C18">
        <v>17</v>
      </c>
      <c r="D18" t="s">
        <v>15</v>
      </c>
      <c r="E18" t="s">
        <v>14</v>
      </c>
      <c r="F18" t="s">
        <v>25</v>
      </c>
      <c r="G18" t="s">
        <v>48</v>
      </c>
      <c r="H18" t="str">
        <f>IF(
F18&lt;&gt;"outgoing",
"",
TEXT(
_xlfn.XLOOKUP(A18,Time!A:A,Time!C:C)+
(
TIMEVALUE(LEFT(G18,8))+(MID(G18,10,3)/86400000)
-
(
TIMEVALUE(LEFT(_xlfn.XLOOKUP(A18,Time!A:A,Time!B:B),8))+
(MID(_xlfn.XLOOKUP(A18,Time!A:A,Time!B:B),10,3)/86400000)
)
),
"hh:mm:ss"
)
)</f>
        <v>16:12:34</v>
      </c>
      <c r="J18" t="s">
        <v>49</v>
      </c>
      <c r="K18" t="s">
        <v>21</v>
      </c>
      <c r="L18" t="s">
        <v>50</v>
      </c>
    </row>
    <row r="19" spans="1:12" x14ac:dyDescent="0.2">
      <c r="A19" t="s">
        <v>43</v>
      </c>
      <c r="B19" t="s">
        <v>13</v>
      </c>
      <c r="C19">
        <v>18</v>
      </c>
      <c r="D19" t="s">
        <v>15</v>
      </c>
      <c r="E19" t="s">
        <v>14</v>
      </c>
      <c r="F19" t="s">
        <v>25</v>
      </c>
      <c r="G19" t="s">
        <v>51</v>
      </c>
      <c r="H19" t="str">
        <f>IF(
F19&lt;&gt;"outgoing",
"",
TEXT(
_xlfn.XLOOKUP(A19,Time!A:A,Time!C:C)+
(
TIMEVALUE(LEFT(G19,8))+(MID(G19,10,3)/86400000)
-
(
TIMEVALUE(LEFT(_xlfn.XLOOKUP(A19,Time!A:A,Time!B:B),8))+
(MID(_xlfn.XLOOKUP(A19,Time!A:A,Time!B:B),10,3)/86400000)
)
),
"hh:mm:ss"
)
)</f>
        <v>16:12:34</v>
      </c>
      <c r="J19" t="s">
        <v>20</v>
      </c>
      <c r="K19" t="s">
        <v>21</v>
      </c>
      <c r="L19" t="s">
        <v>52</v>
      </c>
    </row>
    <row r="20" spans="1:12" x14ac:dyDescent="0.2">
      <c r="A20" t="s">
        <v>53</v>
      </c>
      <c r="B20" t="s">
        <v>13</v>
      </c>
      <c r="C20">
        <v>19</v>
      </c>
      <c r="D20" t="s">
        <v>15</v>
      </c>
      <c r="E20" t="s">
        <v>29</v>
      </c>
      <c r="F20" t="s">
        <v>25</v>
      </c>
      <c r="G20" t="s">
        <v>54</v>
      </c>
      <c r="H20" t="str">
        <f>IF(
F20&lt;&gt;"outgoing",
"",
TEXT(
_xlfn.XLOOKUP(A20,Time!A:A,Time!C:C)+
(
TIMEVALUE(LEFT(G20,8))+(MID(G20,10,3)/86400000)
-
(
TIMEVALUE(LEFT(_xlfn.XLOOKUP(A20,Time!A:A,Time!B:B),8))+
(MID(_xlfn.XLOOKUP(A20,Time!A:A,Time!B:B),10,3)/86400000)
)
),
"hh:mm:ss"
)
)</f>
        <v>16:23:14</v>
      </c>
      <c r="J20" t="s">
        <v>49</v>
      </c>
      <c r="K20" t="s">
        <v>21</v>
      </c>
      <c r="L20" t="s">
        <v>55</v>
      </c>
    </row>
    <row r="21" spans="1:12" x14ac:dyDescent="0.2">
      <c r="A21" t="s">
        <v>56</v>
      </c>
      <c r="B21" t="s">
        <v>57</v>
      </c>
      <c r="C21">
        <v>20</v>
      </c>
      <c r="D21" t="s">
        <v>15</v>
      </c>
      <c r="E21" t="s">
        <v>23</v>
      </c>
      <c r="F21" t="s">
        <v>25</v>
      </c>
      <c r="H21" s="1">
        <v>0.6020833333333333</v>
      </c>
      <c r="J21" t="s">
        <v>58</v>
      </c>
      <c r="K21" t="s">
        <v>21</v>
      </c>
    </row>
    <row r="22" spans="1:12" x14ac:dyDescent="0.2">
      <c r="A22" t="s">
        <v>56</v>
      </c>
      <c r="B22" t="s">
        <v>57</v>
      </c>
      <c r="C22">
        <v>21</v>
      </c>
      <c r="D22" t="s">
        <v>23</v>
      </c>
      <c r="E22" t="s">
        <v>15</v>
      </c>
      <c r="F22" t="s">
        <v>16</v>
      </c>
      <c r="H22" t="str">
        <f>IF(
F22&lt;&gt;"outgoing",
"",
TEXT(
_xlfn.XLOOKUP(A22,Time!A:A,Time!C:C)+
(
TIMEVALUE(LEFT(G22,8))+(MID(G22,10,3)/86400000)
-
(
TIMEVALUE(LEFT(_xlfn.XLOOKUP(A22,Time!A:A,Time!B:B),8))+
(MID(_xlfn.XLOOKUP(A22,Time!A:A,Time!B:B),10,3)/86400000)
)
),
"hh:mm:ss"
)
)</f>
        <v/>
      </c>
      <c r="I22" s="1">
        <v>0.64166666666666672</v>
      </c>
      <c r="J22" t="s">
        <v>20</v>
      </c>
      <c r="K22" t="s">
        <v>21</v>
      </c>
      <c r="L22" t="s">
        <v>59</v>
      </c>
    </row>
    <row r="23" spans="1:12" x14ac:dyDescent="0.2">
      <c r="A23" t="s">
        <v>56</v>
      </c>
      <c r="B23" t="s">
        <v>57</v>
      </c>
      <c r="C23">
        <v>22</v>
      </c>
      <c r="D23" t="s">
        <v>15</v>
      </c>
      <c r="E23" t="s">
        <v>23</v>
      </c>
      <c r="F23" t="s">
        <v>25</v>
      </c>
      <c r="G23" t="s">
        <v>60</v>
      </c>
      <c r="H23" t="str">
        <f>IF(
F23&lt;&gt;"outgoing",
"",
TEXT(
_xlfn.XLOOKUP(A23,Time!A:A,Time!C:C)+
(
TIMEVALUE(LEFT(G23,8))+(MID(G23,10,3)/86400000)
-
(
TIMEVALUE(LEFT(_xlfn.XLOOKUP(A23,Time!A:A,Time!B:B),8))+
(MID(_xlfn.XLOOKUP(A23,Time!A:A,Time!B:B),10,3)/86400000)
)
),
"hh:mm:ss"
)
)</f>
        <v>16:24:08</v>
      </c>
      <c r="J23" t="s">
        <v>41</v>
      </c>
      <c r="K23" t="s">
        <v>18</v>
      </c>
      <c r="L23" t="s">
        <v>61</v>
      </c>
    </row>
    <row r="24" spans="1:12" x14ac:dyDescent="0.2">
      <c r="A24" t="s">
        <v>56</v>
      </c>
      <c r="B24" t="s">
        <v>13</v>
      </c>
      <c r="C24">
        <v>23</v>
      </c>
      <c r="D24" t="s">
        <v>23</v>
      </c>
      <c r="E24" t="s">
        <v>29</v>
      </c>
      <c r="F24" t="s">
        <v>16</v>
      </c>
      <c r="H24" t="str">
        <f>IF(
F24&lt;&gt;"outgoing",
"",
TEXT(
_xlfn.XLOOKUP(A24,Time!A:A,Time!C:C)+
(
TIMEVALUE(LEFT(G24,8))+(MID(G24,10,3)/86400000)
-
(
TIMEVALUE(LEFT(_xlfn.XLOOKUP(A24,Time!A:A,Time!B:B),8))+
(MID(_xlfn.XLOOKUP(A24,Time!A:A,Time!B:B),10,3)/86400000)
)
),
"hh:mm:ss"
)
)</f>
        <v/>
      </c>
      <c r="J24" t="s">
        <v>20</v>
      </c>
      <c r="K24" t="s">
        <v>21</v>
      </c>
      <c r="L24" t="s">
        <v>62</v>
      </c>
    </row>
    <row r="25" spans="1:12" x14ac:dyDescent="0.2">
      <c r="A25" t="s">
        <v>56</v>
      </c>
      <c r="B25" t="s">
        <v>13</v>
      </c>
      <c r="C25">
        <v>24</v>
      </c>
      <c r="D25" t="s">
        <v>15</v>
      </c>
      <c r="E25" t="s">
        <v>29</v>
      </c>
      <c r="F25" t="s">
        <v>25</v>
      </c>
      <c r="G25" t="s">
        <v>63</v>
      </c>
      <c r="H25" t="str">
        <f>IF(
F25&lt;&gt;"outgoing",
"",
TEXT(
_xlfn.XLOOKUP(A25,Time!A:A,Time!C:C)+
(
TIMEVALUE(LEFT(G25,8))+(MID(G25,10,3)/86400000)
-
(
TIMEVALUE(LEFT(_xlfn.XLOOKUP(A25,Time!A:A,Time!B:B),8))+
(MID(_xlfn.XLOOKUP(A25,Time!A:A,Time!B:B),10,3)/86400000)
)
),
"hh:mm:ss"
)
)</f>
        <v>16:24:17</v>
      </c>
      <c r="J25" t="s">
        <v>20</v>
      </c>
      <c r="K25" t="s">
        <v>21</v>
      </c>
      <c r="L25" t="s">
        <v>64</v>
      </c>
    </row>
    <row r="26" spans="1:12" x14ac:dyDescent="0.2">
      <c r="A26" t="s">
        <v>65</v>
      </c>
      <c r="B26" t="s">
        <v>13</v>
      </c>
      <c r="C26">
        <v>25</v>
      </c>
      <c r="D26" t="s">
        <v>14</v>
      </c>
      <c r="E26" t="s">
        <v>15</v>
      </c>
      <c r="F26" t="s">
        <v>16</v>
      </c>
      <c r="H26" t="str">
        <f>IF(
F26&lt;&gt;"outgoing",
"",
TEXT(
_xlfn.XLOOKUP(A26,Time!A:A,Time!C:C)+
(
TIMEVALUE(LEFT(G26,8))+(MID(G26,10,3)/86400000)
-
(
TIMEVALUE(LEFT(_xlfn.XLOOKUP(A26,Time!A:A,Time!B:B),8))+
(MID(_xlfn.XLOOKUP(A26,Time!A:A,Time!B:B),10,3)/86400000)
)
),
"hh:mm:ss"
)
)</f>
        <v/>
      </c>
      <c r="I26" s="1">
        <v>0.68958333333333333</v>
      </c>
      <c r="J26" t="s">
        <v>20</v>
      </c>
      <c r="K26" t="s">
        <v>21</v>
      </c>
      <c r="L26" t="s">
        <v>66</v>
      </c>
    </row>
    <row r="27" spans="1:12" x14ac:dyDescent="0.2">
      <c r="A27" t="s">
        <v>65</v>
      </c>
      <c r="B27" t="s">
        <v>13</v>
      </c>
      <c r="C27">
        <v>26</v>
      </c>
      <c r="D27" t="s">
        <v>14</v>
      </c>
      <c r="E27" t="s">
        <v>15</v>
      </c>
      <c r="F27" t="s">
        <v>16</v>
      </c>
      <c r="H27" t="str">
        <f>IF(
F27&lt;&gt;"outgoing",
"",
TEXT(
_xlfn.XLOOKUP(A27,Time!A:A,Time!C:C)+
(
TIMEVALUE(LEFT(G27,8))+(MID(G27,10,3)/86400000)
-
(
TIMEVALUE(LEFT(_xlfn.XLOOKUP(A27,Time!A:A,Time!B:B),8))+
(MID(_xlfn.XLOOKUP(A27,Time!A:A,Time!B:B),10,3)/86400000)
)
),
"hh:mm:ss"
)
)</f>
        <v/>
      </c>
      <c r="I27" s="1">
        <v>0.68958333333333333</v>
      </c>
      <c r="J27" t="s">
        <v>20</v>
      </c>
      <c r="K27" t="s">
        <v>21</v>
      </c>
      <c r="L27" t="s">
        <v>67</v>
      </c>
    </row>
    <row r="28" spans="1:12" x14ac:dyDescent="0.2">
      <c r="A28" t="s">
        <v>65</v>
      </c>
      <c r="B28" t="s">
        <v>13</v>
      </c>
      <c r="C28">
        <v>27</v>
      </c>
      <c r="D28" t="s">
        <v>15</v>
      </c>
      <c r="E28" t="s">
        <v>14</v>
      </c>
      <c r="F28" t="s">
        <v>25</v>
      </c>
      <c r="H28" s="1">
        <v>0.72222222222222221</v>
      </c>
      <c r="J28" t="s">
        <v>68</v>
      </c>
      <c r="K28" t="s">
        <v>21</v>
      </c>
      <c r="L28" t="s">
        <v>69</v>
      </c>
    </row>
    <row r="29" spans="1:12" x14ac:dyDescent="0.2">
      <c r="A29" t="s">
        <v>65</v>
      </c>
      <c r="B29" t="s">
        <v>13</v>
      </c>
      <c r="C29">
        <v>28</v>
      </c>
      <c r="D29" t="s">
        <v>23</v>
      </c>
      <c r="E29" t="s">
        <v>15</v>
      </c>
      <c r="F29" t="s">
        <v>16</v>
      </c>
      <c r="I29" s="1">
        <v>0.68402777777777779</v>
      </c>
      <c r="J29" t="s">
        <v>41</v>
      </c>
      <c r="K29" t="s">
        <v>18</v>
      </c>
      <c r="L29" t="s">
        <v>70</v>
      </c>
    </row>
    <row r="30" spans="1:12" x14ac:dyDescent="0.2">
      <c r="A30" t="s">
        <v>65</v>
      </c>
      <c r="B30" t="s">
        <v>13</v>
      </c>
      <c r="C30">
        <v>29</v>
      </c>
      <c r="D30" t="s">
        <v>15</v>
      </c>
      <c r="E30" t="s">
        <v>14</v>
      </c>
      <c r="F30" t="s">
        <v>25</v>
      </c>
      <c r="G30" t="s">
        <v>71</v>
      </c>
      <c r="H30" t="str">
        <f>IF(
F30&lt;&gt;"outgoing",
"",
TEXT(
_xlfn.XLOOKUP(A30,Time!A:A,Time!C:C)+
(
TIMEVALUE(LEFT(G30,8))+(MID(G30,10,3)/86400000)
-
(
TIMEVALUE(LEFT(_xlfn.XLOOKUP(A30,Time!A:A,Time!B:B),8))+
(MID(_xlfn.XLOOKUP(A30,Time!A:A,Time!B:B),10,3)/86400000)
)
),
"hh:mm:ss"
)
)</f>
        <v>17:36:31</v>
      </c>
      <c r="J30" t="s">
        <v>49</v>
      </c>
      <c r="K30" t="s">
        <v>21</v>
      </c>
      <c r="L30" t="s">
        <v>72</v>
      </c>
    </row>
    <row r="31" spans="1:12" x14ac:dyDescent="0.2">
      <c r="A31" t="s">
        <v>73</v>
      </c>
      <c r="B31" t="s">
        <v>13</v>
      </c>
      <c r="C31">
        <v>30</v>
      </c>
      <c r="D31" t="s">
        <v>14</v>
      </c>
      <c r="E31" t="s">
        <v>15</v>
      </c>
      <c r="F31" t="s">
        <v>16</v>
      </c>
      <c r="H31" t="str">
        <f>IF(
F31&lt;&gt;"outgoing",
"",
TEXT(
_xlfn.XLOOKUP(A31,Time!A:A,Time!C:C)+
(
TIMEVALUE(LEFT(G31,8))+(MID(G31,10,3)/86400000)
-
(
TIMEVALUE(LEFT(_xlfn.XLOOKUP(A31,Time!A:A,Time!B:B),8))+
(MID(_xlfn.XLOOKUP(A31,Time!A:A,Time!B:B),10,3)/86400000)
)
),
"hh:mm:ss"
)
)</f>
        <v/>
      </c>
      <c r="I31" s="1">
        <v>0.73958333333333337</v>
      </c>
      <c r="J31" t="s">
        <v>20</v>
      </c>
      <c r="K31" t="s">
        <v>21</v>
      </c>
      <c r="L31" t="s">
        <v>74</v>
      </c>
    </row>
    <row r="32" spans="1:12" x14ac:dyDescent="0.2">
      <c r="A32" t="s">
        <v>73</v>
      </c>
      <c r="B32" t="s">
        <v>13</v>
      </c>
      <c r="C32">
        <v>31</v>
      </c>
      <c r="D32" t="s">
        <v>14</v>
      </c>
      <c r="E32" t="s">
        <v>15</v>
      </c>
      <c r="F32" t="s">
        <v>16</v>
      </c>
      <c r="H32" t="str">
        <f>IF(
F32&lt;&gt;"outgoing",
"",
TEXT(
_xlfn.XLOOKUP(A32,Time!A:A,Time!C:C)+
(
TIMEVALUE(LEFT(G32,8))+(MID(G32,10,3)/86400000)
-
(
TIMEVALUE(LEFT(_xlfn.XLOOKUP(A32,Time!A:A,Time!B:B),8))+
(MID(_xlfn.XLOOKUP(A32,Time!A:A,Time!B:B),10,3)/86400000)
)
),
"hh:mm:ss"
)
)</f>
        <v/>
      </c>
      <c r="I32" s="1">
        <v>0.73958333333333337</v>
      </c>
      <c r="J32" t="s">
        <v>20</v>
      </c>
      <c r="K32" t="s">
        <v>21</v>
      </c>
      <c r="L32" t="s">
        <v>75</v>
      </c>
    </row>
    <row r="33" spans="1:12" x14ac:dyDescent="0.2">
      <c r="A33" t="s">
        <v>73</v>
      </c>
      <c r="B33" t="s">
        <v>13</v>
      </c>
      <c r="C33">
        <v>32</v>
      </c>
      <c r="D33" t="s">
        <v>14</v>
      </c>
      <c r="E33" t="s">
        <v>15</v>
      </c>
      <c r="F33" t="s">
        <v>25</v>
      </c>
      <c r="G33" t="s">
        <v>76</v>
      </c>
      <c r="H33" t="str">
        <f>IF(
F33&lt;&gt;"outgoing",
"",
TEXT(
_xlfn.XLOOKUP(A33,Time!A:A,Time!C:C)+
(
TIMEVALUE(LEFT(G33,8))+(MID(G33,10,3)/86400000)
-
(
TIMEVALUE(LEFT(_xlfn.XLOOKUP(A33,Time!A:A,Time!B:B),8))+
(MID(_xlfn.XLOOKUP(A33,Time!A:A,Time!B:B),10,3)/86400000)
)
),
"hh:mm:ss"
)
)</f>
        <v>18:10:59</v>
      </c>
      <c r="J33" t="s">
        <v>77</v>
      </c>
      <c r="K33" t="s">
        <v>18</v>
      </c>
      <c r="L33" t="s">
        <v>78</v>
      </c>
    </row>
    <row r="34" spans="1:12" x14ac:dyDescent="0.2">
      <c r="A34" t="s">
        <v>73</v>
      </c>
      <c r="B34" t="s">
        <v>13</v>
      </c>
      <c r="C34">
        <v>33</v>
      </c>
      <c r="D34" t="s">
        <v>15</v>
      </c>
      <c r="E34" t="s">
        <v>14</v>
      </c>
      <c r="F34" t="s">
        <v>25</v>
      </c>
      <c r="G34" t="s">
        <v>79</v>
      </c>
      <c r="H34" t="str">
        <f>IF(
F34&lt;&gt;"outgoing",
"",
TEXT(
_xlfn.XLOOKUP(A34,Time!A:A,Time!C:C)+
(
TIMEVALUE(LEFT(G34,8))+(MID(G34,10,3)/86400000)
-
(
TIMEVALUE(LEFT(_xlfn.XLOOKUP(A34,Time!A:A,Time!B:B),8))+
(MID(_xlfn.XLOOKUP(A34,Time!A:A,Time!B:B),10,3)/86400000)
)
),
"hh:mm:ss"
)
)</f>
        <v>18:11:19</v>
      </c>
      <c r="J34" t="s">
        <v>77</v>
      </c>
      <c r="K34" t="s">
        <v>18</v>
      </c>
      <c r="L34" t="s">
        <v>80</v>
      </c>
    </row>
    <row r="35" spans="1:12" x14ac:dyDescent="0.2">
      <c r="A35" t="s">
        <v>73</v>
      </c>
      <c r="B35" t="s">
        <v>13</v>
      </c>
      <c r="C35">
        <v>34</v>
      </c>
      <c r="D35" t="s">
        <v>15</v>
      </c>
      <c r="E35" t="s">
        <v>14</v>
      </c>
      <c r="F35" t="s">
        <v>25</v>
      </c>
      <c r="G35" t="s">
        <v>81</v>
      </c>
      <c r="H35" t="str">
        <f>IF(
F35&lt;&gt;"outgoing",
"",
TEXT(
_xlfn.XLOOKUP(A35,Time!A:A,Time!C:C)+
(
TIMEVALUE(LEFT(G35,8))+(MID(G35,10,3)/86400000)
-
(
TIMEVALUE(LEFT(_xlfn.XLOOKUP(A35,Time!A:A,Time!B:B),8))+
(MID(_xlfn.XLOOKUP(A35,Time!A:A,Time!B:B),10,3)/86400000)
)
),
"hh:mm:ss"
)
)</f>
        <v>18:11:44</v>
      </c>
      <c r="J35" t="s">
        <v>68</v>
      </c>
      <c r="K35" t="s">
        <v>21</v>
      </c>
      <c r="L35" t="s">
        <v>82</v>
      </c>
    </row>
    <row r="36" spans="1:12" x14ac:dyDescent="0.2">
      <c r="A36" t="s">
        <v>83</v>
      </c>
      <c r="B36" t="s">
        <v>13</v>
      </c>
      <c r="C36">
        <v>35</v>
      </c>
      <c r="D36" t="s">
        <v>14</v>
      </c>
      <c r="E36" t="s">
        <v>15</v>
      </c>
      <c r="F36" t="s">
        <v>16</v>
      </c>
      <c r="H36" t="str">
        <f>IF(
F36&lt;&gt;"outgoing",
"",
TEXT(
_xlfn.XLOOKUP(#REF!,Time!A:A,Time!C:C)+
(
TIMEVALUE(LEFT(G36,8))+(MID(G36,10,3)/86400000)
-
(
TIMEVALUE(LEFT(_xlfn.XLOOKUP(#REF!,Time!A:A,Time!B:B),8))+
(MID(_xlfn.XLOOKUP(#REF!,Time!A:A,Time!B:B),10,3)/86400000)
)
),
"hh:mm:ss"
)
)</f>
        <v/>
      </c>
      <c r="I36" s="1">
        <v>0.75763888888888886</v>
      </c>
      <c r="J36" t="s">
        <v>77</v>
      </c>
      <c r="K36" t="s">
        <v>18</v>
      </c>
      <c r="L36" t="s">
        <v>84</v>
      </c>
    </row>
    <row r="37" spans="1:12" x14ac:dyDescent="0.2">
      <c r="A37" t="s">
        <v>85</v>
      </c>
      <c r="B37" t="s">
        <v>13</v>
      </c>
      <c r="C37">
        <v>36</v>
      </c>
      <c r="D37" t="s">
        <v>15</v>
      </c>
      <c r="E37" t="s">
        <v>29</v>
      </c>
      <c r="F37" t="s">
        <v>25</v>
      </c>
      <c r="G37" t="s">
        <v>86</v>
      </c>
      <c r="H37" t="str">
        <f>IF(
F37&lt;&gt;"outgoing",
"",
TEXT(
_xlfn.XLOOKUP(A37,Time!A:A,Time!C:C)+
(
TIMEVALUE(LEFT(G37,8))+(MID(G37,10,3)/86400000)
-
(
TIMEVALUE(LEFT(_xlfn.XLOOKUP(A37,Time!A:A,Time!B:B),8))+
(MID(_xlfn.XLOOKUP(A37,Time!A:A,Time!B:B),10,3)/86400000)
)
),
"hh:mm:ss"
)
)</f>
        <v>20:00:57</v>
      </c>
      <c r="J37" t="s">
        <v>87</v>
      </c>
      <c r="K37" t="s">
        <v>18</v>
      </c>
      <c r="L37" t="s">
        <v>88</v>
      </c>
    </row>
    <row r="38" spans="1:12" x14ac:dyDescent="0.2">
      <c r="A38" t="s">
        <v>89</v>
      </c>
      <c r="B38" t="s">
        <v>13</v>
      </c>
      <c r="C38">
        <v>37</v>
      </c>
      <c r="D38" t="s">
        <v>23</v>
      </c>
      <c r="E38" t="s">
        <v>29</v>
      </c>
      <c r="F38" t="s">
        <v>16</v>
      </c>
      <c r="H38" t="str">
        <f>IF(
F38&lt;&gt;"outgoing",
"",
TEXT(
_xlfn.XLOOKUP(A38,Time!A:A,Time!C:C)+
(
TIMEVALUE(LEFT(G38,8))+(MID(G38,10,3)/86400000)
-
(
TIMEVALUE(LEFT(_xlfn.XLOOKUP(A38,Time!A:A,Time!B:B),8))+
(MID(_xlfn.XLOOKUP(A38,Time!A:A,Time!B:B),10,3)/86400000)
)
),
"hh:mm:ss"
)
)</f>
        <v/>
      </c>
      <c r="I38" s="1">
        <v>0.83402777777777781</v>
      </c>
      <c r="J38" t="s">
        <v>20</v>
      </c>
      <c r="K38" t="s">
        <v>21</v>
      </c>
      <c r="L38" t="s">
        <v>90</v>
      </c>
    </row>
    <row r="39" spans="1:12" x14ac:dyDescent="0.2">
      <c r="A39" t="s">
        <v>89</v>
      </c>
      <c r="B39" t="s">
        <v>13</v>
      </c>
      <c r="C39">
        <v>38</v>
      </c>
      <c r="D39" t="s">
        <v>23</v>
      </c>
      <c r="E39" t="s">
        <v>29</v>
      </c>
      <c r="F39" t="s">
        <v>16</v>
      </c>
      <c r="H39" t="str">
        <f>IF(
F39&lt;&gt;"outgoing",
"",
TEXT(
_xlfn.XLOOKUP(A39,Time!A:A,Time!C:C)+
(
TIMEVALUE(LEFT(G39,8))+(MID(G39,10,3)/86400000)
-
(
TIMEVALUE(LEFT(_xlfn.XLOOKUP(A39,Time!A:A,Time!B:B),8))+
(MID(_xlfn.XLOOKUP(A39,Time!A:A,Time!B:B),10,3)/86400000)
)
),
"hh:mm:ss"
)
)</f>
        <v/>
      </c>
      <c r="I39" s="1">
        <v>0.83402777777777781</v>
      </c>
      <c r="J39" t="s">
        <v>20</v>
      </c>
      <c r="K39" t="s">
        <v>21</v>
      </c>
      <c r="L39" t="s">
        <v>91</v>
      </c>
    </row>
    <row r="40" spans="1:12" x14ac:dyDescent="0.2">
      <c r="A40" t="s">
        <v>89</v>
      </c>
      <c r="B40" t="s">
        <v>13</v>
      </c>
      <c r="C40">
        <v>39</v>
      </c>
      <c r="D40" t="s">
        <v>15</v>
      </c>
      <c r="E40" t="s">
        <v>29</v>
      </c>
      <c r="F40" t="s">
        <v>25</v>
      </c>
      <c r="G40" t="s">
        <v>92</v>
      </c>
      <c r="H40" t="str">
        <f>IF(
F40&lt;&gt;"outgoing",
"",
TEXT(
_xlfn.XLOOKUP(A40,Time!A:A,Time!C:C)+
(
TIMEVALUE(LEFT(G40,8))+(MID(G40,10,3)/86400000)
-
(
TIMEVALUE(LEFT(_xlfn.XLOOKUP(A40,Time!A:A,Time!B:B),8))+
(MID(_xlfn.XLOOKUP(A40,Time!A:A,Time!B:B),10,3)/86400000)
)
),
"hh:mm:ss"
)
)</f>
        <v>20:04:12</v>
      </c>
      <c r="J40" t="s">
        <v>20</v>
      </c>
      <c r="K40" t="s">
        <v>21</v>
      </c>
      <c r="L40" t="s">
        <v>93</v>
      </c>
    </row>
    <row r="41" spans="1:12" x14ac:dyDescent="0.2">
      <c r="A41" t="s">
        <v>89</v>
      </c>
      <c r="B41" t="s">
        <v>13</v>
      </c>
      <c r="C41">
        <v>40</v>
      </c>
      <c r="D41" t="s">
        <v>15</v>
      </c>
      <c r="E41" t="s">
        <v>29</v>
      </c>
      <c r="F41" t="s">
        <v>25</v>
      </c>
      <c r="G41" t="s">
        <v>94</v>
      </c>
      <c r="H41" t="str">
        <f>IF(
F41&lt;&gt;"outgoing",
"",
TEXT(
_xlfn.XLOOKUP(A41,Time!A:A,Time!C:C)+
(
TIMEVALUE(LEFT(G41,8))+(MID(G41,10,3)/86400000)
-
(
TIMEVALUE(LEFT(_xlfn.XLOOKUP(A41,Time!A:A,Time!B:B),8))+
(MID(_xlfn.XLOOKUP(A41,Time!A:A,Time!B:B),10,3)/86400000)
)
),
"hh:mm:ss"
)
)</f>
        <v>20:04:24</v>
      </c>
      <c r="J41" t="s">
        <v>20</v>
      </c>
      <c r="K41" t="s">
        <v>21</v>
      </c>
      <c r="L41" t="s">
        <v>95</v>
      </c>
    </row>
    <row r="42" spans="1:12" x14ac:dyDescent="0.2">
      <c r="A42" t="s">
        <v>89</v>
      </c>
      <c r="B42" t="s">
        <v>13</v>
      </c>
      <c r="C42">
        <v>41</v>
      </c>
      <c r="D42" t="s">
        <v>15</v>
      </c>
      <c r="E42" t="s">
        <v>29</v>
      </c>
      <c r="F42" t="s">
        <v>25</v>
      </c>
      <c r="G42" t="s">
        <v>96</v>
      </c>
      <c r="H42" t="str">
        <f>IF(
F42&lt;&gt;"outgoing",
"",
TEXT(
_xlfn.XLOOKUP(A42,Time!A:A,Time!C:C)+
(
TIMEVALUE(LEFT(G42,8))+(MID(G42,10,3)/86400000)
-
(
TIMEVALUE(LEFT(_xlfn.XLOOKUP(A42,Time!A:A,Time!B:B),8))+
(MID(_xlfn.XLOOKUP(A42,Time!A:A,Time!B:B),10,3)/86400000)
)
),
"hh:mm:ss"
)
)</f>
        <v>20:04:46</v>
      </c>
      <c r="J42" t="s">
        <v>68</v>
      </c>
      <c r="K42" t="s">
        <v>21</v>
      </c>
      <c r="L42" t="s">
        <v>97</v>
      </c>
    </row>
    <row r="43" spans="1:12" x14ac:dyDescent="0.2">
      <c r="A43" t="s">
        <v>89</v>
      </c>
      <c r="B43" t="s">
        <v>13</v>
      </c>
      <c r="C43">
        <v>42</v>
      </c>
      <c r="D43" t="s">
        <v>23</v>
      </c>
      <c r="E43" t="s">
        <v>29</v>
      </c>
      <c r="F43" t="s">
        <v>16</v>
      </c>
      <c r="H43" t="str">
        <f>IF(
F43&lt;&gt;"outgoing",
"",
TEXT(
_xlfn.XLOOKUP(A43,Time!A:A,Time!C:C)+
(
TIMEVALUE(LEFT(G43,8))+(MID(G43,10,3)/86400000)
-
(
TIMEVALUE(LEFT(_xlfn.XLOOKUP(A43,Time!A:A,Time!B:B),8))+
(MID(_xlfn.XLOOKUP(A43,Time!A:A,Time!B:B),10,3)/86400000)
)
),
"hh:mm:ss"
)
)</f>
        <v/>
      </c>
      <c r="I43" s="1">
        <v>0.83611111111111114</v>
      </c>
      <c r="J43" t="s">
        <v>68</v>
      </c>
      <c r="K43" t="s">
        <v>21</v>
      </c>
      <c r="L43" t="s">
        <v>98</v>
      </c>
    </row>
    <row r="44" spans="1:12" x14ac:dyDescent="0.2">
      <c r="A44" t="s">
        <v>99</v>
      </c>
      <c r="B44" t="s">
        <v>57</v>
      </c>
      <c r="C44">
        <v>43</v>
      </c>
      <c r="D44" t="s">
        <v>23</v>
      </c>
      <c r="E44" t="s">
        <v>15</v>
      </c>
      <c r="F44" t="s">
        <v>16</v>
      </c>
      <c r="H44" t="str">
        <f>IF(
F44&lt;&gt;"outgoing",
"",
TEXT(
_xlfn.XLOOKUP(A44,Time!A:A,Time!C:C)+
(
TIMEVALUE(LEFT(G44,8))+(MID(G44,10,3)/86400000)
-
(
TIMEVALUE(LEFT(_xlfn.XLOOKUP(A44,Time!A:A,Time!B:B),8))+
(MID(_xlfn.XLOOKUP(A44,Time!A:A,Time!B:B),10,3)/86400000)
)
),
"hh:mm:ss"
)
)</f>
        <v/>
      </c>
      <c r="I44" s="1">
        <v>0.80763888888888891</v>
      </c>
      <c r="J44" t="s">
        <v>20</v>
      </c>
      <c r="K44" t="s">
        <v>21</v>
      </c>
      <c r="L44" t="s">
        <v>100</v>
      </c>
    </row>
    <row r="45" spans="1:12" x14ac:dyDescent="0.2">
      <c r="A45" t="s">
        <v>99</v>
      </c>
      <c r="B45" t="s">
        <v>57</v>
      </c>
      <c r="C45">
        <v>44</v>
      </c>
      <c r="D45" t="s">
        <v>15</v>
      </c>
      <c r="E45" t="s">
        <v>23</v>
      </c>
      <c r="F45" t="s">
        <v>25</v>
      </c>
      <c r="G45" t="s">
        <v>101</v>
      </c>
      <c r="H45" t="str">
        <f>IF(
F45&lt;&gt;"outgoing",
"",
TEXT(
_xlfn.XLOOKUP(A45,Time!A:A,Time!C:C)+
(
TIMEVALUE(LEFT(G45,8))+(MID(G45,10,3)/86400000)
-
(
TIMEVALUE(LEFT(_xlfn.XLOOKUP(A45,Time!A:A,Time!B:B),8))+
(MID(_xlfn.XLOOKUP(A45,Time!A:A,Time!B:B),10,3)/86400000)
)
),
"hh:mm:ss"
)
)</f>
        <v>20:35:44</v>
      </c>
      <c r="J45" t="s">
        <v>20</v>
      </c>
      <c r="K45" t="s">
        <v>21</v>
      </c>
      <c r="L45" t="s">
        <v>102</v>
      </c>
    </row>
    <row r="46" spans="1:12" x14ac:dyDescent="0.2">
      <c r="A46" t="s">
        <v>99</v>
      </c>
      <c r="B46" t="s">
        <v>57</v>
      </c>
      <c r="C46">
        <v>45</v>
      </c>
      <c r="D46" t="s">
        <v>14</v>
      </c>
      <c r="E46" t="s">
        <v>15</v>
      </c>
      <c r="F46" t="s">
        <v>16</v>
      </c>
      <c r="H46" t="str">
        <f>IF(
F46&lt;&gt;"outgoing",
"",
TEXT(
_xlfn.XLOOKUP(A46,Time!A:A,Time!C:C)+
(
TIMEVALUE(LEFT(G46,8))+(MID(G46,10,3)/86400000)
-
(
TIMEVALUE(LEFT(_xlfn.XLOOKUP(A46,Time!A:A,Time!B:B),8))+
(MID(_xlfn.XLOOKUP(A46,Time!A:A,Time!B:B),10,3)/86400000)
)
),
"hh:mm:ss"
)
)</f>
        <v/>
      </c>
      <c r="I46" s="1">
        <v>0.81666666666666665</v>
      </c>
      <c r="J46" t="s">
        <v>58</v>
      </c>
      <c r="K46" t="s">
        <v>103</v>
      </c>
    </row>
    <row r="47" spans="1:12" x14ac:dyDescent="0.2">
      <c r="A47" t="s">
        <v>99</v>
      </c>
      <c r="B47" t="s">
        <v>13</v>
      </c>
      <c r="C47">
        <v>46</v>
      </c>
      <c r="D47" t="s">
        <v>14</v>
      </c>
      <c r="E47" t="s">
        <v>104</v>
      </c>
      <c r="F47" t="s">
        <v>16</v>
      </c>
      <c r="H47" t="str">
        <f>IF(
F47&lt;&gt;"outgoing",
"",
TEXT(
_xlfn.XLOOKUP(A47,Time!A:A,Time!C:C)+
(
TIMEVALUE(LEFT(G47,8))+(MID(G47,10,3)/86400000)
-
(
TIMEVALUE(LEFT(_xlfn.XLOOKUP(A47,Time!A:A,Time!B:B),8))+
(MID(_xlfn.XLOOKUP(A47,Time!A:A,Time!B:B),10,3)/86400000)
)
),
"hh:mm:ss"
)
)</f>
        <v/>
      </c>
      <c r="I47" s="1">
        <v>0.73958333333333337</v>
      </c>
      <c r="J47" t="s">
        <v>20</v>
      </c>
      <c r="K47" t="s">
        <v>21</v>
      </c>
      <c r="L47" t="s">
        <v>105</v>
      </c>
    </row>
    <row r="48" spans="1:12" x14ac:dyDescent="0.2">
      <c r="A48" t="s">
        <v>99</v>
      </c>
      <c r="B48" t="s">
        <v>13</v>
      </c>
      <c r="C48">
        <v>47</v>
      </c>
      <c r="D48" t="s">
        <v>106</v>
      </c>
      <c r="E48" t="s">
        <v>104</v>
      </c>
      <c r="F48" t="s">
        <v>16</v>
      </c>
      <c r="H48" t="str">
        <f>IF(
F48&lt;&gt;"outgoing",
"",
TEXT(
_xlfn.XLOOKUP(A48,Time!A:A,Time!C:C)+
(
TIMEVALUE(LEFT(G48,8))+(MID(G48,10,3)/86400000)
-
(
TIMEVALUE(LEFT(_xlfn.XLOOKUP(A48,Time!A:A,Time!B:B),8))+
(MID(_xlfn.XLOOKUP(A48,Time!A:A,Time!B:B),10,3)/86400000)
)
),
"hh:mm:ss"
)
)</f>
        <v/>
      </c>
      <c r="I48" s="1">
        <v>0.74236111111111114</v>
      </c>
      <c r="J48" t="s">
        <v>20</v>
      </c>
      <c r="K48" t="s">
        <v>21</v>
      </c>
      <c r="L48" t="s">
        <v>107</v>
      </c>
    </row>
    <row r="49" spans="1:12" x14ac:dyDescent="0.2">
      <c r="A49" t="s">
        <v>99</v>
      </c>
      <c r="B49" t="s">
        <v>13</v>
      </c>
      <c r="C49">
        <v>48</v>
      </c>
      <c r="D49" t="s">
        <v>15</v>
      </c>
      <c r="E49" t="s">
        <v>104</v>
      </c>
      <c r="F49" t="s">
        <v>25</v>
      </c>
      <c r="H49" s="1">
        <v>0.74791666666666667</v>
      </c>
      <c r="J49" t="s">
        <v>20</v>
      </c>
      <c r="K49" t="s">
        <v>21</v>
      </c>
      <c r="L49" t="s">
        <v>108</v>
      </c>
    </row>
    <row r="50" spans="1:12" x14ac:dyDescent="0.2">
      <c r="A50" t="s">
        <v>99</v>
      </c>
      <c r="B50" t="s">
        <v>13</v>
      </c>
      <c r="C50">
        <v>49</v>
      </c>
      <c r="D50" t="s">
        <v>14</v>
      </c>
      <c r="E50" t="s">
        <v>104</v>
      </c>
      <c r="F50" t="s">
        <v>16</v>
      </c>
      <c r="H50" t="str">
        <f>IF(
F50&lt;&gt;"outgoing",
"",
TEXT(
_xlfn.XLOOKUP(A50,Time!A:A,Time!C:C)+
(
TIMEVALUE(LEFT(G50,8))+(MID(G50,10,3)/86400000)
-
(
TIMEVALUE(LEFT(_xlfn.XLOOKUP(A50,Time!A:A,Time!B:B),8))+
(MID(_xlfn.XLOOKUP(A50,Time!A:A,Time!B:B),10,3)/86400000)
)
),
"hh:mm:ss"
)
)</f>
        <v/>
      </c>
      <c r="I50" s="1">
        <v>0.75277777777777777</v>
      </c>
      <c r="J50" t="s">
        <v>20</v>
      </c>
      <c r="K50" t="s">
        <v>21</v>
      </c>
      <c r="L50" t="s">
        <v>109</v>
      </c>
    </row>
    <row r="51" spans="1:12" x14ac:dyDescent="0.2">
      <c r="A51" t="s">
        <v>99</v>
      </c>
      <c r="B51" t="s">
        <v>13</v>
      </c>
      <c r="C51">
        <v>50</v>
      </c>
      <c r="D51" t="s">
        <v>106</v>
      </c>
      <c r="E51" t="s">
        <v>104</v>
      </c>
      <c r="F51" t="s">
        <v>16</v>
      </c>
      <c r="H51" t="str">
        <f>IF(
F51&lt;&gt;"outgoing",
"",
TEXT(
_xlfn.XLOOKUP(A51,Time!A:A,Time!C:C)+
(
TIMEVALUE(LEFT(G51,8))+(MID(G51,10,3)/86400000)
-
(
TIMEVALUE(LEFT(_xlfn.XLOOKUP(A51,Time!A:A,Time!B:B),8))+
(MID(_xlfn.XLOOKUP(A51,Time!A:A,Time!B:B),10,3)/86400000)
)
),
"hh:mm:ss"
)
)</f>
        <v/>
      </c>
      <c r="I51" s="1">
        <v>0.75486111111111109</v>
      </c>
      <c r="J51" t="s">
        <v>20</v>
      </c>
      <c r="K51" t="s">
        <v>21</v>
      </c>
      <c r="L51" t="s">
        <v>110</v>
      </c>
    </row>
    <row r="52" spans="1:12" x14ac:dyDescent="0.2">
      <c r="A52" t="s">
        <v>99</v>
      </c>
      <c r="B52" t="s">
        <v>13</v>
      </c>
      <c r="C52">
        <v>51</v>
      </c>
      <c r="D52" t="s">
        <v>15</v>
      </c>
      <c r="E52" t="s">
        <v>104</v>
      </c>
      <c r="F52" t="s">
        <v>16</v>
      </c>
      <c r="H52" s="1">
        <v>0.56944444444444442</v>
      </c>
      <c r="J52" t="s">
        <v>49</v>
      </c>
      <c r="K52" t="s">
        <v>21</v>
      </c>
      <c r="L52" t="s">
        <v>111</v>
      </c>
    </row>
    <row r="53" spans="1:12" x14ac:dyDescent="0.2">
      <c r="A53" t="s">
        <v>99</v>
      </c>
      <c r="B53" t="s">
        <v>57</v>
      </c>
      <c r="C53">
        <v>52</v>
      </c>
      <c r="D53" t="s">
        <v>15</v>
      </c>
      <c r="E53" t="s">
        <v>14</v>
      </c>
      <c r="F53" t="s">
        <v>25</v>
      </c>
      <c r="G53" t="s">
        <v>112</v>
      </c>
      <c r="H53" t="str">
        <f>IF(
F53&lt;&gt;"outgoing",
"",
TEXT(
_xlfn.XLOOKUP(A53,Time!A:A,Time!C:C)+
(
TIMEVALUE(LEFT(G53,8))+(MID(G53,10,3)/86400000)
-
(
TIMEVALUE(LEFT(_xlfn.XLOOKUP(A53,Time!A:A,Time!B:B),8))+
(MID(_xlfn.XLOOKUP(A53,Time!A:A,Time!B:B),10,3)/86400000)
)
),
"hh:mm:ss"
)
)</f>
        <v>20:38:00</v>
      </c>
      <c r="J53" t="s">
        <v>20</v>
      </c>
      <c r="K53" t="s">
        <v>103</v>
      </c>
      <c r="L53" t="s">
        <v>113</v>
      </c>
    </row>
    <row r="54" spans="1:12" x14ac:dyDescent="0.2">
      <c r="A54" t="s">
        <v>114</v>
      </c>
      <c r="B54" t="s">
        <v>13</v>
      </c>
      <c r="C54">
        <v>53</v>
      </c>
      <c r="D54" t="s">
        <v>14</v>
      </c>
      <c r="E54" t="s">
        <v>15</v>
      </c>
      <c r="F54" t="s">
        <v>16</v>
      </c>
      <c r="H54" t="str">
        <f>IF(
F54&lt;&gt;"outgoing",
"",
TEXT(
_xlfn.XLOOKUP(A54,Time!A:A,Time!C:C)+
(
TIMEVALUE(LEFT(G54,8))+(MID(G54,10,3)/86400000)
-
(
TIMEVALUE(LEFT(_xlfn.XLOOKUP(A54,Time!A:A,Time!B:B),8))+
(MID(_xlfn.XLOOKUP(A54,Time!A:A,Time!B:B),10,3)/86400000)
)
),
"hh:mm:ss"
)
)</f>
        <v/>
      </c>
      <c r="I54" s="1">
        <v>0.85972222222222228</v>
      </c>
      <c r="J54" t="s">
        <v>49</v>
      </c>
      <c r="K54" t="s">
        <v>21</v>
      </c>
      <c r="L54" t="s">
        <v>115</v>
      </c>
    </row>
    <row r="55" spans="1:12" x14ac:dyDescent="0.2">
      <c r="A55" t="s">
        <v>114</v>
      </c>
      <c r="B55" t="s">
        <v>13</v>
      </c>
      <c r="C55">
        <v>54</v>
      </c>
      <c r="D55" t="s">
        <v>15</v>
      </c>
      <c r="E55" t="s">
        <v>14</v>
      </c>
      <c r="F55" t="s">
        <v>25</v>
      </c>
      <c r="G55" t="s">
        <v>116</v>
      </c>
      <c r="H55" t="str">
        <f>IF(
F55&lt;&gt;"outgoing",
"",
TEXT(
_xlfn.XLOOKUP(A55,Time!A:A,Time!C:C)+
(
TIMEVALUE(LEFT(G55,8))+(MID(G55,10,3)/86400000)
-
(
TIMEVALUE(LEFT(_xlfn.XLOOKUP(A55,Time!A:A,Time!B:B),8))+
(MID(_xlfn.XLOOKUP(A55,Time!A:A,Time!B:B),10,3)/86400000)
)
),
"hh:mm:ss"
)
)</f>
        <v>20:41:00</v>
      </c>
      <c r="J55" t="s">
        <v>49</v>
      </c>
      <c r="K55" t="s">
        <v>21</v>
      </c>
      <c r="L55" t="s">
        <v>117</v>
      </c>
    </row>
    <row r="56" spans="1:12" x14ac:dyDescent="0.2">
      <c r="A56" t="s">
        <v>118</v>
      </c>
      <c r="B56" t="s">
        <v>13</v>
      </c>
      <c r="C56">
        <v>55</v>
      </c>
      <c r="D56" t="s">
        <v>14</v>
      </c>
      <c r="E56" t="s">
        <v>15</v>
      </c>
      <c r="F56" t="s">
        <v>16</v>
      </c>
      <c r="H56" t="str">
        <f>IF(
F56&lt;&gt;"outgoing",
"",
TEXT(
_xlfn.XLOOKUP(A56,Time!A:A,Time!C:C)+
(
TIMEVALUE(LEFT(G56,8))+(MID(G56,10,3)/86400000)
-
(
TIMEVALUE(LEFT(_xlfn.XLOOKUP(A56,Time!A:A,Time!B:B),8))+
(MID(_xlfn.XLOOKUP(A56,Time!A:A,Time!B:B),10,3)/86400000)
)
),
"hh:mm:ss"
)
)</f>
        <v/>
      </c>
      <c r="I56" s="1">
        <v>0.86388888888888893</v>
      </c>
      <c r="J56" t="s">
        <v>20</v>
      </c>
      <c r="K56" t="s">
        <v>21</v>
      </c>
      <c r="L56" t="s">
        <v>119</v>
      </c>
    </row>
    <row r="57" spans="1:12" x14ac:dyDescent="0.2">
      <c r="A57" t="s">
        <v>118</v>
      </c>
      <c r="B57" t="s">
        <v>13</v>
      </c>
      <c r="C57">
        <v>56</v>
      </c>
      <c r="D57" t="s">
        <v>14</v>
      </c>
      <c r="E57" t="s">
        <v>15</v>
      </c>
      <c r="F57" t="s">
        <v>16</v>
      </c>
      <c r="H57" t="str">
        <f>IF(
F57&lt;&gt;"outgoing",
"",
TEXT(
_xlfn.XLOOKUP(A57,Time!A:A,Time!C:C)+
(
TIMEVALUE(LEFT(G57,8))+(MID(G57,10,3)/86400000)
-
(
TIMEVALUE(LEFT(_xlfn.XLOOKUP(A57,Time!A:A,Time!B:B),8))+
(MID(_xlfn.XLOOKUP(A57,Time!A:A,Time!B:B),10,3)/86400000)
)
),
"hh:mm:ss"
)
)</f>
        <v/>
      </c>
      <c r="I57" s="1">
        <v>0.86388888888888893</v>
      </c>
      <c r="J57" t="s">
        <v>20</v>
      </c>
      <c r="K57" t="s">
        <v>21</v>
      </c>
      <c r="L57" t="s">
        <v>120</v>
      </c>
    </row>
    <row r="58" spans="1:12" x14ac:dyDescent="0.2">
      <c r="A58" t="s">
        <v>118</v>
      </c>
      <c r="B58" t="s">
        <v>13</v>
      </c>
      <c r="C58">
        <v>57</v>
      </c>
      <c r="D58" t="s">
        <v>14</v>
      </c>
      <c r="E58" t="s">
        <v>15</v>
      </c>
      <c r="F58" t="s">
        <v>16</v>
      </c>
      <c r="H58" t="str">
        <f>IF(
F58&lt;&gt;"outgoing",
"",
TEXT(
_xlfn.XLOOKUP(A58,Time!A:A,Time!C:C)+
(
TIMEVALUE(LEFT(G58,8))+(MID(G58,10,3)/86400000)
-
(
TIMEVALUE(LEFT(_xlfn.XLOOKUP(A58,Time!A:A,Time!B:B),8))+
(MID(_xlfn.XLOOKUP(A58,Time!A:A,Time!B:B),10,3)/86400000)
)
),
"hh:mm:ss"
)
)</f>
        <v/>
      </c>
      <c r="I58" s="1">
        <v>0.86458333333333337</v>
      </c>
      <c r="J58" t="s">
        <v>20</v>
      </c>
      <c r="K58" t="s">
        <v>21</v>
      </c>
      <c r="L58" t="s">
        <v>121</v>
      </c>
    </row>
    <row r="59" spans="1:12" x14ac:dyDescent="0.2">
      <c r="A59" t="s">
        <v>118</v>
      </c>
      <c r="B59" t="s">
        <v>13</v>
      </c>
      <c r="C59">
        <v>58</v>
      </c>
      <c r="D59" t="s">
        <v>15</v>
      </c>
      <c r="E59" t="s">
        <v>14</v>
      </c>
      <c r="F59" t="s">
        <v>25</v>
      </c>
      <c r="G59" t="s">
        <v>122</v>
      </c>
      <c r="H59" t="str">
        <f>IF(
F59&lt;&gt;"outgoing",
"",
TEXT(
_xlfn.XLOOKUP(A59,Time!A:A,Time!C:C)+
(
TIMEVALUE(LEFT(G59,8))+(MID(G59,10,3)/86400000)
-
(
TIMEVALUE(LEFT(_xlfn.XLOOKUP(A59,Time!A:A,Time!B:B),8))+
(MID(_xlfn.XLOOKUP(A59,Time!A:A,Time!B:B),10,3)/86400000)
)
),
"hh:mm:ss"
)
)</f>
        <v>20:49:56</v>
      </c>
      <c r="J59" t="s">
        <v>77</v>
      </c>
      <c r="K59" t="s">
        <v>18</v>
      </c>
      <c r="L59" t="s">
        <v>123</v>
      </c>
    </row>
    <row r="60" spans="1:12" x14ac:dyDescent="0.2">
      <c r="A60" t="s">
        <v>118</v>
      </c>
      <c r="B60" t="s">
        <v>13</v>
      </c>
      <c r="C60">
        <v>59</v>
      </c>
      <c r="D60" t="s">
        <v>15</v>
      </c>
      <c r="E60" t="s">
        <v>14</v>
      </c>
      <c r="F60" t="s">
        <v>25</v>
      </c>
      <c r="G60" t="s">
        <v>124</v>
      </c>
      <c r="H60" t="str">
        <f>IF(
F60&lt;&gt;"outgoing",
"",
TEXT(
_xlfn.XLOOKUP(A60,Time!A:A,Time!C:C)+
(
TIMEVALUE(LEFT(G60,8))+(MID(G60,10,3)/86400000)
-
(
TIMEVALUE(LEFT(_xlfn.XLOOKUP(A60,Time!A:A,Time!B:B),8))+
(MID(_xlfn.XLOOKUP(A60,Time!A:A,Time!B:B),10,3)/86400000)
)
),
"hh:mm:ss"
)
)</f>
        <v>20:50:48</v>
      </c>
      <c r="J60" t="s">
        <v>49</v>
      </c>
      <c r="K60" t="s">
        <v>21</v>
      </c>
      <c r="L60" t="s">
        <v>125</v>
      </c>
    </row>
    <row r="61" spans="1:12" x14ac:dyDescent="0.2">
      <c r="A61" t="s">
        <v>126</v>
      </c>
      <c r="B61" t="s">
        <v>13</v>
      </c>
      <c r="C61">
        <v>60</v>
      </c>
      <c r="D61" t="s">
        <v>14</v>
      </c>
      <c r="E61" t="s">
        <v>15</v>
      </c>
      <c r="F61" t="s">
        <v>16</v>
      </c>
      <c r="H61" t="str">
        <f>IF(
F61&lt;&gt;"outgoing",
"",
TEXT(
_xlfn.XLOOKUP(A61,Time!A:A,Time!C:C)+
(
TIMEVALUE(LEFT(G61,8))+(MID(G61,10,3)/86400000)
-
(
TIMEVALUE(LEFT(_xlfn.XLOOKUP(A61,Time!A:A,Time!B:B),8))+
(MID(_xlfn.XLOOKUP(A61,Time!A:A,Time!B:B),10,3)/86400000)
)
),
"hh:mm:ss"
)
)</f>
        <v/>
      </c>
      <c r="I61" s="1">
        <v>0.87222222222222223</v>
      </c>
      <c r="J61" t="s">
        <v>20</v>
      </c>
      <c r="K61" t="s">
        <v>21</v>
      </c>
      <c r="L61" t="s">
        <v>127</v>
      </c>
    </row>
    <row r="62" spans="1:12" x14ac:dyDescent="0.2">
      <c r="A62" t="s">
        <v>126</v>
      </c>
      <c r="B62" t="s">
        <v>13</v>
      </c>
      <c r="C62">
        <v>61</v>
      </c>
      <c r="D62" t="s">
        <v>14</v>
      </c>
      <c r="E62" t="s">
        <v>15</v>
      </c>
      <c r="F62" t="s">
        <v>16</v>
      </c>
      <c r="H62" t="str">
        <f>IF(
F62&lt;&gt;"outgoing",
"",
TEXT(
_xlfn.XLOOKUP(A62,Time!A:A,Time!C:C)+
(
TIMEVALUE(LEFT(G62,8))+(MID(G62,10,3)/86400000)
-
(
TIMEVALUE(LEFT(_xlfn.XLOOKUP(A62,Time!A:A,Time!B:B),8))+
(MID(_xlfn.XLOOKUP(A62,Time!A:A,Time!B:B),10,3)/86400000)
)
),
"hh:mm:ss"
)
)</f>
        <v/>
      </c>
      <c r="I62" s="1">
        <v>0.87291666666666667</v>
      </c>
      <c r="J62" t="s">
        <v>20</v>
      </c>
      <c r="K62" t="s">
        <v>21</v>
      </c>
      <c r="L62" t="s">
        <v>128</v>
      </c>
    </row>
    <row r="63" spans="1:12" x14ac:dyDescent="0.2">
      <c r="A63" t="s">
        <v>126</v>
      </c>
      <c r="B63" t="s">
        <v>13</v>
      </c>
      <c r="C63">
        <v>62</v>
      </c>
      <c r="D63" t="s">
        <v>15</v>
      </c>
      <c r="E63" t="s">
        <v>14</v>
      </c>
      <c r="F63" t="s">
        <v>129</v>
      </c>
      <c r="J63" t="s">
        <v>20</v>
      </c>
      <c r="K63" t="s">
        <v>21</v>
      </c>
      <c r="L63" t="s">
        <v>130</v>
      </c>
    </row>
    <row r="64" spans="1:12" x14ac:dyDescent="0.2">
      <c r="A64" t="s">
        <v>126</v>
      </c>
      <c r="B64" t="s">
        <v>13</v>
      </c>
      <c r="C64">
        <v>63</v>
      </c>
      <c r="D64" t="s">
        <v>15</v>
      </c>
      <c r="E64" t="s">
        <v>14</v>
      </c>
      <c r="F64" t="s">
        <v>25</v>
      </c>
      <c r="G64" t="s">
        <v>131</v>
      </c>
      <c r="H64" t="str">
        <f>IF(
F64&lt;&gt;"outgoing",
"",
TEXT(
_xlfn.XLOOKUP(A64,Time!A:A,Time!C:C)+
(
TIMEVALUE(LEFT(G64,8))+(MID(G64,10,3)/86400000)
-
(
TIMEVALUE(LEFT(_xlfn.XLOOKUP(A64,Time!A:A,Time!B:B),8))+
(MID(_xlfn.XLOOKUP(A64,Time!A:A,Time!B:B),10,3)/86400000)
)
),
"hh:mm:ss"
)
)</f>
        <v>21:09:47</v>
      </c>
      <c r="J64" t="s">
        <v>20</v>
      </c>
      <c r="K64" t="s">
        <v>21</v>
      </c>
      <c r="L64" t="s">
        <v>132</v>
      </c>
    </row>
    <row r="65" spans="1:12" x14ac:dyDescent="0.2">
      <c r="A65" t="s">
        <v>133</v>
      </c>
      <c r="B65" t="s">
        <v>57</v>
      </c>
      <c r="C65">
        <v>64</v>
      </c>
      <c r="D65" t="s">
        <v>14</v>
      </c>
      <c r="E65" t="s">
        <v>15</v>
      </c>
      <c r="F65" t="s">
        <v>16</v>
      </c>
      <c r="I65" s="1">
        <v>0.86041666666666672</v>
      </c>
      <c r="J65" t="s">
        <v>77</v>
      </c>
      <c r="K65" t="s">
        <v>18</v>
      </c>
      <c r="L65" t="s">
        <v>134</v>
      </c>
    </row>
    <row r="66" spans="1:12" x14ac:dyDescent="0.2">
      <c r="A66" t="s">
        <v>135</v>
      </c>
      <c r="B66" t="s">
        <v>13</v>
      </c>
      <c r="C66">
        <v>65</v>
      </c>
      <c r="D66" t="s">
        <v>15</v>
      </c>
      <c r="E66" t="s">
        <v>14</v>
      </c>
      <c r="F66" t="s">
        <v>25</v>
      </c>
      <c r="H66" s="1">
        <v>0.92361111111111116</v>
      </c>
      <c r="J66" t="s">
        <v>20</v>
      </c>
      <c r="K66" t="s">
        <v>21</v>
      </c>
      <c r="L66" t="s">
        <v>136</v>
      </c>
    </row>
    <row r="67" spans="1:12" x14ac:dyDescent="0.2">
      <c r="A67" t="s">
        <v>135</v>
      </c>
      <c r="B67" t="s">
        <v>13</v>
      </c>
      <c r="C67">
        <v>66</v>
      </c>
      <c r="D67" t="s">
        <v>14</v>
      </c>
      <c r="E67" t="s">
        <v>15</v>
      </c>
      <c r="F67" t="s">
        <v>16</v>
      </c>
      <c r="H67" t="str">
        <f>IF(
F67&lt;&gt;"outgoing",
"",
TEXT(
_xlfn.XLOOKUP(A67,Time!A:A,Time!C:C)+
(
TIMEVALUE(LEFT(G67,8))+(MID(G67,10,3)/86400000)
-
(
TIMEVALUE(LEFT(_xlfn.XLOOKUP(A67,Time!A:A,Time!B:B),8))+
(MID(_xlfn.XLOOKUP(A67,Time!A:A,Time!B:B),10,3)/86400000)
)
),
"hh:mm:ss"
)
)</f>
        <v/>
      </c>
      <c r="I67" s="1">
        <v>0.93125000000000002</v>
      </c>
      <c r="J67" t="s">
        <v>20</v>
      </c>
      <c r="K67" t="s">
        <v>21</v>
      </c>
      <c r="L67" t="s">
        <v>137</v>
      </c>
    </row>
    <row r="68" spans="1:12" x14ac:dyDescent="0.2">
      <c r="A68" t="s">
        <v>135</v>
      </c>
      <c r="B68" t="s">
        <v>13</v>
      </c>
      <c r="C68">
        <v>67</v>
      </c>
      <c r="D68" t="s">
        <v>15</v>
      </c>
      <c r="E68" t="s">
        <v>14</v>
      </c>
      <c r="F68" t="s">
        <v>25</v>
      </c>
      <c r="G68" t="s">
        <v>138</v>
      </c>
      <c r="H68" t="str">
        <f>IF(
F68&lt;&gt;"outgoing",
"",
TEXT(
_xlfn.XLOOKUP(A68,Time!A:A,Time!C:C)+
(
TIMEVALUE(LEFT(G68,8))+(MID(G68,10,3)/86400000)
-
(
TIMEVALUE(LEFT(_xlfn.XLOOKUP(A68,Time!A:A,Time!B:B),8))+
(MID(_xlfn.XLOOKUP(A68,Time!A:A,Time!B:B),10,3)/86400000)
)
),
"hh:mm:ss"
)
)</f>
        <v>22:41:25</v>
      </c>
      <c r="J68" t="s">
        <v>20</v>
      </c>
      <c r="K68" t="s">
        <v>21</v>
      </c>
      <c r="L68"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tabSelected="1" workbookViewId="0">
      <pane ySplit="1" topLeftCell="A2" activePane="bottomLeft" state="frozen"/>
      <selection pane="bottomLeft" activeCell="I18" sqref="I18"/>
    </sheetView>
  </sheetViews>
  <sheetFormatPr baseColWidth="10" defaultColWidth="8.83203125" defaultRowHeight="15" x14ac:dyDescent="0.2"/>
  <cols>
    <col min="1" max="4" width="22" customWidth="1"/>
  </cols>
  <sheetData>
    <row r="1" spans="1:4" x14ac:dyDescent="0.2">
      <c r="A1" s="2" t="s">
        <v>0</v>
      </c>
      <c r="B1" s="2" t="s">
        <v>140</v>
      </c>
      <c r="C1" s="2" t="s">
        <v>141</v>
      </c>
      <c r="D1" s="2" t="s">
        <v>142</v>
      </c>
    </row>
    <row r="2" spans="1:4" x14ac:dyDescent="0.2">
      <c r="A2" t="s">
        <v>12</v>
      </c>
      <c r="B2" t="s">
        <v>143</v>
      </c>
      <c r="C2" s="1">
        <v>0.30069444444444438</v>
      </c>
      <c r="D2" s="3">
        <v>45259</v>
      </c>
    </row>
    <row r="3" spans="1:4" x14ac:dyDescent="0.2">
      <c r="A3" t="s">
        <v>28</v>
      </c>
      <c r="B3" t="s">
        <v>143</v>
      </c>
      <c r="C3" s="1">
        <v>0.60347222222222219</v>
      </c>
      <c r="D3" s="3">
        <v>45259</v>
      </c>
    </row>
    <row r="4" spans="1:4" x14ac:dyDescent="0.2">
      <c r="A4" t="s">
        <v>32</v>
      </c>
      <c r="B4" t="s">
        <v>143</v>
      </c>
      <c r="C4" s="1">
        <v>0.63611111111111107</v>
      </c>
      <c r="D4" s="3">
        <v>45259</v>
      </c>
    </row>
    <row r="5" spans="1:4" x14ac:dyDescent="0.2">
      <c r="A5" t="s">
        <v>43</v>
      </c>
      <c r="B5" t="s">
        <v>144</v>
      </c>
      <c r="C5" s="1">
        <v>0.67500000000000004</v>
      </c>
      <c r="D5" s="3">
        <v>45259</v>
      </c>
    </row>
    <row r="6" spans="1:4" x14ac:dyDescent="0.2">
      <c r="A6" t="s">
        <v>53</v>
      </c>
      <c r="B6" t="s">
        <v>145</v>
      </c>
      <c r="C6" s="1">
        <v>0.68263888888888891</v>
      </c>
      <c r="D6" s="3">
        <v>45259</v>
      </c>
    </row>
    <row r="7" spans="1:4" x14ac:dyDescent="0.2">
      <c r="A7" t="s">
        <v>56</v>
      </c>
      <c r="B7" t="s">
        <v>143</v>
      </c>
      <c r="C7" s="1">
        <v>0.68333333333333335</v>
      </c>
      <c r="D7" s="3">
        <v>45259</v>
      </c>
    </row>
    <row r="8" spans="1:4" x14ac:dyDescent="0.2">
      <c r="A8" t="s">
        <v>65</v>
      </c>
      <c r="B8" t="s">
        <v>143</v>
      </c>
      <c r="C8" s="1">
        <v>0.73333333333333328</v>
      </c>
      <c r="D8" s="3">
        <v>45259</v>
      </c>
    </row>
    <row r="9" spans="1:4" x14ac:dyDescent="0.2">
      <c r="A9" t="s">
        <v>73</v>
      </c>
      <c r="B9" t="s">
        <v>146</v>
      </c>
      <c r="C9" s="1">
        <v>0.75763888888888886</v>
      </c>
      <c r="D9" s="3">
        <v>45259</v>
      </c>
    </row>
    <row r="10" spans="1:4" x14ac:dyDescent="0.2">
      <c r="A10" t="s">
        <v>85</v>
      </c>
      <c r="B10" t="s">
        <v>147</v>
      </c>
      <c r="C10" s="1">
        <v>0.83402777777777781</v>
      </c>
      <c r="D10" s="3">
        <v>45259</v>
      </c>
    </row>
    <row r="11" spans="1:4" x14ac:dyDescent="0.2">
      <c r="A11" t="s">
        <v>89</v>
      </c>
      <c r="B11" t="s">
        <v>148</v>
      </c>
      <c r="C11" s="1">
        <v>0.83680555555555558</v>
      </c>
      <c r="D11" s="3">
        <v>45259</v>
      </c>
    </row>
    <row r="12" spans="1:4" x14ac:dyDescent="0.2">
      <c r="A12" t="s">
        <v>99</v>
      </c>
      <c r="B12" t="s">
        <v>149</v>
      </c>
      <c r="C12" s="1">
        <v>0.85833333333333328</v>
      </c>
      <c r="D12" s="3">
        <v>45259</v>
      </c>
    </row>
    <row r="13" spans="1:4" x14ac:dyDescent="0.2">
      <c r="A13" t="s">
        <v>114</v>
      </c>
      <c r="B13" t="s">
        <v>116</v>
      </c>
      <c r="C13" s="1">
        <v>0.8618055555555556</v>
      </c>
      <c r="D13" s="3">
        <v>45259</v>
      </c>
    </row>
    <row r="14" spans="1:4" x14ac:dyDescent="0.2">
      <c r="A14" t="s">
        <v>118</v>
      </c>
      <c r="B14" t="s">
        <v>150</v>
      </c>
      <c r="C14" s="1">
        <v>0.86805555555555558</v>
      </c>
      <c r="D14" s="3">
        <v>45259</v>
      </c>
    </row>
    <row r="15" spans="1:4" x14ac:dyDescent="0.2">
      <c r="A15" t="s">
        <v>126</v>
      </c>
      <c r="B15" t="s">
        <v>151</v>
      </c>
      <c r="C15" s="1">
        <v>0.88055555555555554</v>
      </c>
      <c r="D15" s="3">
        <v>45259</v>
      </c>
    </row>
    <row r="16" spans="1:4" x14ac:dyDescent="0.2">
      <c r="A16" t="s">
        <v>135</v>
      </c>
      <c r="B16" t="s">
        <v>143</v>
      </c>
      <c r="C16" s="1">
        <v>0.94513888888888886</v>
      </c>
      <c r="D16" s="3">
        <v>45259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 Lallo</cp:lastModifiedBy>
  <dcterms:created xsi:type="dcterms:W3CDTF">2026-06-28T20:45:14Z</dcterms:created>
  <dcterms:modified xsi:type="dcterms:W3CDTF">2026-06-28T21:04:11Z</dcterms:modified>
</cp:coreProperties>
</file>